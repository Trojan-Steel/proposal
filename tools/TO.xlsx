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47624-my.sharepoint.com/personal/jon_trojansteel_com/Documents/Optima Estimating/2025/CRUNCH FITNESS - BURLESON/TO/"/>
    </mc:Choice>
  </mc:AlternateContent>
  <xr:revisionPtr revIDLastSave="3" documentId="13_ncr:1_{6589BC5D-6C4B-45A1-A912-B1B6D6CDCB0E}" xr6:coauthVersionLast="47" xr6:coauthVersionMax="47" xr10:uidLastSave="{4273937A-95C6-457B-BCF1-F1B703C2C10A}"/>
  <bookViews>
    <workbookView xWindow="-120" yWindow="-120" windowWidth="29040" windowHeight="17520" xr2:uid="{D70BD873-CDE2-43C7-BCFE-E7D6EFC31617}"/>
  </bookViews>
  <sheets>
    <sheet name="Bldg 1" sheetId="3" r:id="rId1"/>
  </sheets>
  <definedNames>
    <definedName name="_xlnm._FilterDatabase" localSheetId="0" hidden="1">'Bldg 1'!#REF!</definedName>
    <definedName name="_xlnm.Print_Area" localSheetId="0">'Bldg 1'!$A$1:$Q$74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8" i="3" l="1"/>
  <c r="C88" i="3"/>
  <c r="C86" i="3"/>
  <c r="M28" i="3"/>
  <c r="O16" i="3"/>
  <c r="O14" i="3"/>
  <c r="O79" i="3"/>
  <c r="O77" i="3"/>
  <c r="O75" i="3"/>
  <c r="O73" i="3"/>
  <c r="O71" i="3"/>
  <c r="B81" i="3"/>
  <c r="O9" i="3" s="1"/>
  <c r="B67" i="3"/>
  <c r="O5" i="3" s="1"/>
  <c r="G46" i="3"/>
  <c r="V71" i="3"/>
  <c r="V73" i="3"/>
  <c r="V75" i="3"/>
  <c r="V77" i="3"/>
  <c r="V79" i="3"/>
  <c r="G39" i="3"/>
  <c r="P16" i="3" s="1"/>
  <c r="V65" i="3"/>
  <c r="P65" i="3" s="1"/>
  <c r="V55" i="3"/>
  <c r="P55" i="3" s="1"/>
  <c r="V57" i="3"/>
  <c r="P57" i="3" s="1"/>
  <c r="V59" i="3"/>
  <c r="P59" i="3" s="1"/>
  <c r="V61" i="3"/>
  <c r="P61" i="3" s="1"/>
  <c r="V63" i="3"/>
  <c r="P63" i="3" s="1"/>
  <c r="P79" i="3" l="1"/>
  <c r="Q79" i="3" s="1"/>
  <c r="P77" i="3"/>
  <c r="Q77" i="3" s="1"/>
  <c r="P75" i="3"/>
  <c r="Q75" i="3" s="1"/>
  <c r="P73" i="3"/>
  <c r="Q73" i="3" s="1"/>
  <c r="P71" i="3"/>
  <c r="Q71" i="3" s="1"/>
  <c r="Q87" i="3"/>
  <c r="Q88" i="3"/>
  <c r="Q65" i="3"/>
  <c r="Q63" i="3"/>
  <c r="Q61" i="3"/>
  <c r="Q59" i="3"/>
  <c r="Q57" i="3"/>
  <c r="Q55" i="3"/>
  <c r="G28" i="3"/>
  <c r="P18" i="3" s="1"/>
  <c r="G21" i="3"/>
  <c r="P14" i="3" s="1"/>
  <c r="Q86" i="3"/>
  <c r="P19" i="3" l="1"/>
  <c r="Q90" i="3"/>
  <c r="P10" i="3" s="1"/>
  <c r="Q81" i="3"/>
  <c r="P9" i="3" s="1"/>
  <c r="Q67" i="3"/>
  <c r="P5" i="3" s="1"/>
  <c r="P11" i="3" l="1"/>
  <c r="O21" i="3" s="1"/>
</calcChain>
</file>

<file path=xl/sharedStrings.xml><?xml version="1.0" encoding="utf-8"?>
<sst xmlns="http://schemas.openxmlformats.org/spreadsheetml/2006/main" count="167" uniqueCount="111">
  <si>
    <t>Bid No:</t>
  </si>
  <si>
    <t>Job Number:</t>
  </si>
  <si>
    <t>Job Name:</t>
  </si>
  <si>
    <t>City/State:</t>
  </si>
  <si>
    <t>Take Off Areas</t>
  </si>
  <si>
    <t>Description</t>
  </si>
  <si>
    <t>TOA No</t>
  </si>
  <si>
    <t>Primer</t>
  </si>
  <si>
    <t>Deck Type</t>
  </si>
  <si>
    <t>Squares</t>
  </si>
  <si>
    <t>Tons</t>
  </si>
  <si>
    <t>Wgt/Sqr</t>
  </si>
  <si>
    <t>Cost</t>
  </si>
  <si>
    <t>TOA 1 - Deck</t>
  </si>
  <si>
    <t>TOA 1 - Deck Accessory</t>
  </si>
  <si>
    <t>Mark</t>
  </si>
  <si>
    <t>Qty</t>
  </si>
  <si>
    <t>Jst Typ</t>
  </si>
  <si>
    <t>Designation</t>
  </si>
  <si>
    <t>Uplift</t>
  </si>
  <si>
    <t>End C</t>
  </si>
  <si>
    <t>Tcx-l</t>
  </si>
  <si>
    <t>Tcx-R</t>
  </si>
  <si>
    <t>Bcx-L</t>
  </si>
  <si>
    <t>Bcx-R</t>
  </si>
  <si>
    <t>Brng D-L</t>
  </si>
  <si>
    <t>BrngD-R</t>
  </si>
  <si>
    <t>Slp Seat</t>
  </si>
  <si>
    <t>Spc Cmb</t>
  </si>
  <si>
    <t>BC eq TC</t>
  </si>
  <si>
    <t>FS</t>
  </si>
  <si>
    <t>Approx.</t>
  </si>
  <si>
    <t>#/FT</t>
  </si>
  <si>
    <t>Unit</t>
  </si>
  <si>
    <t>Lbs</t>
  </si>
  <si>
    <t>Total</t>
  </si>
  <si>
    <t>Mark Ton</t>
  </si>
  <si>
    <t>TOA 1 - Bridging</t>
  </si>
  <si>
    <t>Bridging Typ</t>
  </si>
  <si>
    <t>Plan Ft</t>
  </si>
  <si>
    <t>Lin Ft</t>
  </si>
  <si>
    <t>Wgt/FT</t>
  </si>
  <si>
    <t xml:space="preserve"> Tons</t>
  </si>
  <si>
    <t>Notes:</t>
  </si>
  <si>
    <t>Depth</t>
  </si>
  <si>
    <t>Pieces</t>
  </si>
  <si>
    <t xml:space="preserve"> Type</t>
  </si>
  <si>
    <t>Sds:</t>
  </si>
  <si>
    <t xml:space="preserve">Take Off Area #1  </t>
  </si>
  <si>
    <t>Bldg Code:</t>
  </si>
  <si>
    <t>Wgt/Pc</t>
  </si>
  <si>
    <t>Joist Type</t>
  </si>
  <si>
    <t>Girder</t>
  </si>
  <si>
    <t>Bridging</t>
  </si>
  <si>
    <t>Sqrs</t>
  </si>
  <si>
    <t>Job Total Tons:</t>
  </si>
  <si>
    <t>OA Length</t>
  </si>
  <si>
    <t>Deck type</t>
  </si>
  <si>
    <t>K-Series</t>
  </si>
  <si>
    <t>LH-Series</t>
  </si>
  <si>
    <t>DLH-Series</t>
  </si>
  <si>
    <t>SP-Series</t>
  </si>
  <si>
    <t>Dwg Date:</t>
  </si>
  <si>
    <t>Total Joist Tons:</t>
  </si>
  <si>
    <t>Total Deck Tons:</t>
  </si>
  <si>
    <t>CRUNCH FITNESS - BURLESON</t>
  </si>
  <si>
    <t>2021 IBC</t>
  </si>
  <si>
    <t>1.5VLI22G60</t>
  </si>
  <si>
    <t>CC1</t>
  </si>
  <si>
    <t>GRAY</t>
  </si>
  <si>
    <t>MEZZANINE FRAMING PLAN - S-1.2</t>
  </si>
  <si>
    <t xml:space="preserve">Take Off Area #2  </t>
  </si>
  <si>
    <t>TOA 2 - Deck</t>
  </si>
  <si>
    <t>TOA 2 - Deck Accessory</t>
  </si>
  <si>
    <t>TOA 2 - Joist</t>
  </si>
  <si>
    <t>J1</t>
  </si>
  <si>
    <t>J2</t>
  </si>
  <si>
    <t>J3</t>
  </si>
  <si>
    <t>J4</t>
  </si>
  <si>
    <t>J5</t>
  </si>
  <si>
    <t>J6</t>
  </si>
  <si>
    <t>24K8</t>
  </si>
  <si>
    <t>40'-5"</t>
  </si>
  <si>
    <t>2.5"</t>
  </si>
  <si>
    <t>24KCS4</t>
  </si>
  <si>
    <t>1.5B18G30 G/G</t>
  </si>
  <si>
    <t>#10Tek-screws</t>
  </si>
  <si>
    <t>40'-4"</t>
  </si>
  <si>
    <t>40'-11"</t>
  </si>
  <si>
    <t>G1</t>
  </si>
  <si>
    <t>G2</t>
  </si>
  <si>
    <t>G3</t>
  </si>
  <si>
    <t>G4</t>
  </si>
  <si>
    <t>G5</t>
  </si>
  <si>
    <t>34'-7"</t>
  </si>
  <si>
    <t>27'-3"</t>
  </si>
  <si>
    <t>38'-2"</t>
  </si>
  <si>
    <t>33'-11"</t>
  </si>
  <si>
    <t>32'-9"</t>
  </si>
  <si>
    <t>7.5"</t>
  </si>
  <si>
    <t>40G6N13.9K</t>
  </si>
  <si>
    <t>28G5N13.5K</t>
  </si>
  <si>
    <t>40G7N14.4K</t>
  </si>
  <si>
    <t>Horiz welded</t>
  </si>
  <si>
    <t>Girder bridging</t>
  </si>
  <si>
    <t>2"x0.137"</t>
  </si>
  <si>
    <t>1-1/4"x7/64"</t>
  </si>
  <si>
    <t>ROOF FRAMING PLAN - S2.1</t>
  </si>
  <si>
    <t>Deck accessories</t>
  </si>
  <si>
    <t>Burleson, TX 76028</t>
  </si>
  <si>
    <t>Basic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</si>
</sst>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" fontId="0" fillId="2" borderId="0" xfId="0" applyNumberFormat="1" applyFill="1"/>
    <xf numFmtId="1" fontId="0" fillId="0" borderId="0" xfId="0" applyNumberFormat="1"/>
    <xf numFmtId="0" fontId="3" fillId="0" borderId="0" xfId="0" applyFont="1"/>
    <xf numFmtId="164" fontId="0" fillId="2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EF3D-10F4-4730-B1D4-60D1ECF00173}">
  <sheetPr>
    <pageSetUpPr fitToPage="1"/>
  </sheetPr>
  <dimension ref="A2:V90"/>
  <sheetViews>
    <sheetView tabSelected="1" zoomScale="115" zoomScaleNormal="115" workbookViewId="0"/>
  </sheetViews>
  <sheetFormatPr defaultRowHeight="15" x14ac:dyDescent="0.25"/>
  <cols>
    <col min="1" max="1" width="11.7109375" customWidth="1"/>
    <col min="2" max="2" width="10.85546875" customWidth="1"/>
    <col min="3" max="3" width="10.7109375" customWidth="1"/>
    <col min="4" max="4" width="17" customWidth="1"/>
    <col min="6" max="6" width="11.5703125" customWidth="1"/>
    <col min="8" max="8" width="7.28515625" customWidth="1"/>
    <col min="11" max="11" width="11.28515625" bestFit="1" customWidth="1"/>
    <col min="12" max="12" width="6.7109375" customWidth="1"/>
    <col min="13" max="13" width="9.7109375" customWidth="1"/>
    <col min="14" max="14" width="3.5703125" customWidth="1"/>
  </cols>
  <sheetData>
    <row r="2" spans="1:16" x14ac:dyDescent="0.25">
      <c r="A2" t="s">
        <v>1</v>
      </c>
      <c r="B2" s="16"/>
      <c r="C2" s="16"/>
      <c r="E2" t="s">
        <v>0</v>
      </c>
      <c r="F2" s="16"/>
      <c r="G2" s="16"/>
      <c r="J2" s="1" t="s">
        <v>43</v>
      </c>
      <c r="K2" s="17" t="s">
        <v>110</v>
      </c>
      <c r="L2" s="17"/>
      <c r="M2" s="17"/>
      <c r="N2" s="17"/>
      <c r="O2" s="17"/>
      <c r="P2" s="17"/>
    </row>
    <row r="4" spans="1:16" x14ac:dyDescent="0.25">
      <c r="A4" t="s">
        <v>2</v>
      </c>
      <c r="B4" s="16" t="s">
        <v>65</v>
      </c>
      <c r="C4" s="16"/>
      <c r="D4" s="16"/>
      <c r="E4" t="s">
        <v>3</v>
      </c>
      <c r="F4" s="16" t="s">
        <v>109</v>
      </c>
      <c r="G4" s="16"/>
      <c r="J4" t="s">
        <v>49</v>
      </c>
      <c r="K4" t="s">
        <v>66</v>
      </c>
      <c r="M4" s="9" t="s">
        <v>51</v>
      </c>
      <c r="O4" s="9" t="s">
        <v>16</v>
      </c>
      <c r="P4" s="9" t="s">
        <v>10</v>
      </c>
    </row>
    <row r="5" spans="1:16" x14ac:dyDescent="0.25">
      <c r="J5" t="s">
        <v>47</v>
      </c>
      <c r="K5">
        <v>7.2999999999999995E-2</v>
      </c>
      <c r="M5" s="4" t="s">
        <v>58</v>
      </c>
      <c r="O5" s="12">
        <f>B67</f>
        <v>116</v>
      </c>
      <c r="P5" s="10">
        <f>Q67</f>
        <v>32.257880416666666</v>
      </c>
    </row>
    <row r="6" spans="1:16" x14ac:dyDescent="0.25">
      <c r="A6" s="20" t="s">
        <v>4</v>
      </c>
      <c r="B6" s="20"/>
      <c r="C6" s="20"/>
      <c r="D6" s="20"/>
      <c r="E6" s="20"/>
      <c r="J6" t="s">
        <v>62</v>
      </c>
      <c r="K6" s="15">
        <v>45960</v>
      </c>
      <c r="M6" t="s">
        <v>59</v>
      </c>
      <c r="O6" s="13"/>
      <c r="P6" s="11"/>
    </row>
    <row r="7" spans="1:16" x14ac:dyDescent="0.25">
      <c r="A7" s="1" t="s">
        <v>6</v>
      </c>
      <c r="B7" s="1" t="s">
        <v>5</v>
      </c>
      <c r="C7" s="1"/>
      <c r="F7" s="1" t="s">
        <v>7</v>
      </c>
      <c r="M7" s="4" t="s">
        <v>60</v>
      </c>
      <c r="O7" s="12"/>
      <c r="P7" s="12"/>
    </row>
    <row r="8" spans="1:16" x14ac:dyDescent="0.25">
      <c r="A8" s="5">
        <v>1</v>
      </c>
      <c r="B8" s="4" t="s">
        <v>70</v>
      </c>
      <c r="C8" s="4"/>
      <c r="D8" s="4"/>
      <c r="E8" s="4"/>
      <c r="F8" s="4" t="s">
        <v>69</v>
      </c>
      <c r="G8" s="4"/>
      <c r="H8" s="4"/>
      <c r="M8" t="s">
        <v>61</v>
      </c>
    </row>
    <row r="9" spans="1:16" x14ac:dyDescent="0.25">
      <c r="A9" s="6"/>
      <c r="M9" s="4" t="s">
        <v>52</v>
      </c>
      <c r="O9" s="12">
        <f>B81</f>
        <v>15</v>
      </c>
      <c r="P9" s="12">
        <f>Q81</f>
        <v>12.1488125</v>
      </c>
    </row>
    <row r="10" spans="1:16" x14ac:dyDescent="0.25">
      <c r="A10" s="5">
        <v>2</v>
      </c>
      <c r="B10" s="4" t="s">
        <v>107</v>
      </c>
      <c r="C10" s="4"/>
      <c r="D10" s="4"/>
      <c r="E10" s="4"/>
      <c r="F10" s="4" t="s">
        <v>69</v>
      </c>
      <c r="G10" s="4"/>
      <c r="H10" s="4"/>
      <c r="M10" t="s">
        <v>53</v>
      </c>
      <c r="O10" s="13"/>
      <c r="P10" s="14">
        <f>Q90</f>
        <v>2.8779300000000001</v>
      </c>
    </row>
    <row r="11" spans="1:16" x14ac:dyDescent="0.25">
      <c r="A11" s="6"/>
      <c r="M11" s="3" t="s">
        <v>63</v>
      </c>
      <c r="P11" s="14">
        <f>SUM(P5:P10)</f>
        <v>47.284622916666663</v>
      </c>
    </row>
    <row r="12" spans="1:16" x14ac:dyDescent="0.25">
      <c r="A12" s="5"/>
      <c r="B12" s="4"/>
      <c r="C12" s="4"/>
      <c r="D12" s="4"/>
      <c r="E12" s="4"/>
      <c r="F12" s="4"/>
      <c r="G12" s="4"/>
      <c r="H12" s="4"/>
    </row>
    <row r="13" spans="1:16" x14ac:dyDescent="0.25">
      <c r="A13" s="6"/>
      <c r="K13" s="9" t="s">
        <v>57</v>
      </c>
      <c r="O13" s="9" t="s">
        <v>54</v>
      </c>
      <c r="P13" s="9" t="s">
        <v>10</v>
      </c>
    </row>
    <row r="14" spans="1:16" x14ac:dyDescent="0.25">
      <c r="K14" s="4" t="s">
        <v>67</v>
      </c>
      <c r="L14" s="4"/>
      <c r="M14" s="4"/>
      <c r="O14" s="12">
        <f>C21</f>
        <v>108</v>
      </c>
      <c r="P14" s="12">
        <f>G21</f>
        <v>9.0180000000000007</v>
      </c>
    </row>
    <row r="16" spans="1:16" x14ac:dyDescent="0.25">
      <c r="B16" s="19" t="s">
        <v>48</v>
      </c>
      <c r="C16" s="19"/>
      <c r="D16" s="19"/>
      <c r="E16" s="19"/>
      <c r="F16" s="19"/>
      <c r="K16" s="4" t="s">
        <v>85</v>
      </c>
      <c r="L16" s="4"/>
      <c r="M16" s="4"/>
      <c r="O16" s="4">
        <f>C39</f>
        <v>277</v>
      </c>
      <c r="P16" s="4">
        <f>G39</f>
        <v>36.702500000000001</v>
      </c>
    </row>
    <row r="18" spans="1:16" x14ac:dyDescent="0.25">
      <c r="D18" s="3" t="s">
        <v>13</v>
      </c>
      <c r="E18" s="3"/>
      <c r="F18" s="3"/>
      <c r="K18" s="4" t="s">
        <v>108</v>
      </c>
      <c r="L18" s="4"/>
      <c r="M18" s="4"/>
      <c r="O18" s="4"/>
      <c r="P18" s="4">
        <f>G28</f>
        <v>9.7500000000000003E-2</v>
      </c>
    </row>
    <row r="19" spans="1:16" x14ac:dyDescent="0.25">
      <c r="D19" s="3"/>
      <c r="E19" s="3"/>
      <c r="F19" s="3"/>
      <c r="K19" s="3" t="s">
        <v>64</v>
      </c>
      <c r="P19">
        <f>SUM(P14:P18)</f>
        <v>45.817999999999998</v>
      </c>
    </row>
    <row r="20" spans="1:16" x14ac:dyDescent="0.25">
      <c r="A20" s="1" t="s">
        <v>8</v>
      </c>
      <c r="B20" s="1"/>
      <c r="C20" s="1" t="s">
        <v>9</v>
      </c>
      <c r="D20" s="1"/>
      <c r="E20" s="1" t="s">
        <v>11</v>
      </c>
      <c r="F20" s="1"/>
      <c r="G20" s="1" t="s">
        <v>10</v>
      </c>
      <c r="H20" s="1" t="s">
        <v>12</v>
      </c>
    </row>
    <row r="21" spans="1:16" x14ac:dyDescent="0.25">
      <c r="A21" s="4" t="s">
        <v>67</v>
      </c>
      <c r="B21" s="4"/>
      <c r="C21" s="4">
        <v>108</v>
      </c>
      <c r="D21" s="4"/>
      <c r="E21" s="4">
        <v>167</v>
      </c>
      <c r="F21" s="4"/>
      <c r="G21" s="4">
        <f>((C21*E21)/2000)</f>
        <v>9.0180000000000007</v>
      </c>
      <c r="H21" s="4"/>
      <c r="M21" s="9" t="s">
        <v>55</v>
      </c>
      <c r="O21" s="18">
        <f>(P11+P19)</f>
        <v>93.102622916666661</v>
      </c>
      <c r="P21" s="17"/>
    </row>
    <row r="25" spans="1:16" x14ac:dyDescent="0.25">
      <c r="C25" s="19" t="s">
        <v>14</v>
      </c>
      <c r="D25" s="19"/>
      <c r="E25" s="19"/>
      <c r="F25" s="19"/>
      <c r="K25" t="s">
        <v>108</v>
      </c>
    </row>
    <row r="26" spans="1:16" x14ac:dyDescent="0.25">
      <c r="C26" s="2"/>
      <c r="D26" s="2"/>
      <c r="E26" s="2"/>
      <c r="F26" s="2"/>
    </row>
    <row r="27" spans="1:16" x14ac:dyDescent="0.25">
      <c r="A27" s="1" t="s">
        <v>46</v>
      </c>
      <c r="B27" s="1"/>
      <c r="C27" s="1" t="s">
        <v>16</v>
      </c>
      <c r="D27" s="1"/>
      <c r="E27" s="1" t="s">
        <v>50</v>
      </c>
      <c r="F27" s="1"/>
      <c r="G27" s="1" t="s">
        <v>10</v>
      </c>
      <c r="H27" s="1" t="s">
        <v>12</v>
      </c>
      <c r="K27" t="s">
        <v>68</v>
      </c>
      <c r="M27">
        <v>65</v>
      </c>
    </row>
    <row r="28" spans="1:16" x14ac:dyDescent="0.25">
      <c r="A28" s="4" t="s">
        <v>68</v>
      </c>
      <c r="B28" s="4"/>
      <c r="C28" s="4">
        <v>65</v>
      </c>
      <c r="D28" s="4"/>
      <c r="E28" s="4">
        <v>3</v>
      </c>
      <c r="F28" s="4"/>
      <c r="G28" s="4">
        <f>((C28*E28)/2000)</f>
        <v>9.7500000000000003E-2</v>
      </c>
      <c r="H28" s="4"/>
      <c r="K28" t="s">
        <v>86</v>
      </c>
      <c r="M28">
        <f>7000</f>
        <v>7000</v>
      </c>
    </row>
    <row r="34" spans="1:8" x14ac:dyDescent="0.25">
      <c r="B34" s="19" t="s">
        <v>71</v>
      </c>
      <c r="C34" s="19"/>
      <c r="D34" s="19"/>
      <c r="E34" s="19"/>
      <c r="F34" s="19"/>
    </row>
    <row r="36" spans="1:8" x14ac:dyDescent="0.25">
      <c r="D36" s="3" t="s">
        <v>72</v>
      </c>
      <c r="E36" s="3"/>
      <c r="F36" s="3"/>
    </row>
    <row r="37" spans="1:8" x14ac:dyDescent="0.25">
      <c r="D37" s="3"/>
      <c r="E37" s="3"/>
      <c r="F37" s="3"/>
    </row>
    <row r="38" spans="1:8" x14ac:dyDescent="0.25">
      <c r="A38" s="1" t="s">
        <v>8</v>
      </c>
      <c r="B38" s="1"/>
      <c r="C38" s="1" t="s">
        <v>9</v>
      </c>
      <c r="D38" s="1"/>
      <c r="E38" s="1" t="s">
        <v>11</v>
      </c>
      <c r="F38" s="1"/>
      <c r="G38" s="1" t="s">
        <v>10</v>
      </c>
      <c r="H38" s="1" t="s">
        <v>12</v>
      </c>
    </row>
    <row r="39" spans="1:8" x14ac:dyDescent="0.25">
      <c r="A39" s="4" t="s">
        <v>85</v>
      </c>
      <c r="B39" s="4"/>
      <c r="C39" s="4">
        <v>277</v>
      </c>
      <c r="D39" s="4"/>
      <c r="E39" s="4">
        <v>265</v>
      </c>
      <c r="F39" s="4"/>
      <c r="G39" s="4">
        <f>((C39*E39)/2000)</f>
        <v>36.702500000000001</v>
      </c>
      <c r="H39" s="4"/>
    </row>
    <row r="43" spans="1:8" x14ac:dyDescent="0.25">
      <c r="C43" s="19" t="s">
        <v>73</v>
      </c>
      <c r="D43" s="19"/>
      <c r="E43" s="19"/>
      <c r="F43" s="19"/>
    </row>
    <row r="44" spans="1:8" x14ac:dyDescent="0.25">
      <c r="C44" s="2"/>
      <c r="D44" s="2"/>
      <c r="E44" s="2"/>
      <c r="F44" s="2"/>
    </row>
    <row r="45" spans="1:8" x14ac:dyDescent="0.25">
      <c r="A45" s="1" t="s">
        <v>46</v>
      </c>
      <c r="B45" s="1"/>
      <c r="C45" s="1" t="s">
        <v>16</v>
      </c>
      <c r="D45" s="1"/>
      <c r="E45" s="1" t="s">
        <v>50</v>
      </c>
      <c r="F45" s="1"/>
      <c r="G45" s="1" t="s">
        <v>10</v>
      </c>
      <c r="H45" s="1" t="s">
        <v>12</v>
      </c>
    </row>
    <row r="46" spans="1:8" x14ac:dyDescent="0.25">
      <c r="A46" s="4" t="s">
        <v>86</v>
      </c>
      <c r="B46" s="4"/>
      <c r="C46" s="4">
        <v>7000</v>
      </c>
      <c r="D46" s="4"/>
      <c r="E46" s="4"/>
      <c r="F46" s="4"/>
      <c r="G46" s="4">
        <f>((C46*E46)/2000)</f>
        <v>0</v>
      </c>
      <c r="H46" s="4"/>
    </row>
    <row r="52" spans="1:22" x14ac:dyDescent="0.25">
      <c r="C52" s="19" t="s">
        <v>74</v>
      </c>
      <c r="D52" s="19"/>
      <c r="E52" s="19"/>
      <c r="F52" s="19"/>
    </row>
    <row r="53" spans="1:22" x14ac:dyDescent="0.25">
      <c r="C53" s="2"/>
      <c r="D53" s="2"/>
      <c r="E53" s="2"/>
      <c r="F53" s="2"/>
      <c r="G53" t="s">
        <v>21</v>
      </c>
      <c r="I53" t="s">
        <v>23</v>
      </c>
      <c r="J53" t="s">
        <v>25</v>
      </c>
      <c r="O53" t="s">
        <v>31</v>
      </c>
      <c r="P53" t="s">
        <v>33</v>
      </c>
      <c r="Q53" t="s">
        <v>35</v>
      </c>
    </row>
    <row r="54" spans="1:22" ht="13.5" customHeight="1" x14ac:dyDescent="0.25">
      <c r="A54" s="1" t="s">
        <v>15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56</v>
      </c>
      <c r="G54" s="1" t="s">
        <v>22</v>
      </c>
      <c r="H54" s="1" t="s">
        <v>20</v>
      </c>
      <c r="I54" s="1" t="s">
        <v>24</v>
      </c>
      <c r="J54" s="1" t="s">
        <v>26</v>
      </c>
      <c r="K54" s="1" t="s">
        <v>27</v>
      </c>
      <c r="L54" s="1" t="s">
        <v>28</v>
      </c>
      <c r="M54" s="1" t="s">
        <v>29</v>
      </c>
      <c r="N54" s="1" t="s">
        <v>30</v>
      </c>
      <c r="O54" s="1" t="s">
        <v>32</v>
      </c>
      <c r="P54" s="1" t="s">
        <v>34</v>
      </c>
      <c r="Q54" s="1" t="s">
        <v>36</v>
      </c>
    </row>
    <row r="55" spans="1:22" x14ac:dyDescent="0.25">
      <c r="A55" s="4" t="s">
        <v>75</v>
      </c>
      <c r="B55" s="5">
        <v>20</v>
      </c>
      <c r="C55" s="4" t="s">
        <v>58</v>
      </c>
      <c r="D55" s="4" t="s">
        <v>81</v>
      </c>
      <c r="E55" s="4">
        <v>194</v>
      </c>
      <c r="F55" s="4" t="s">
        <v>82</v>
      </c>
      <c r="G55" s="4"/>
      <c r="H55" s="4"/>
      <c r="I55" s="4"/>
      <c r="J55" s="4" t="s">
        <v>83</v>
      </c>
      <c r="K55" s="4"/>
      <c r="L55" s="4"/>
      <c r="M55" s="4"/>
      <c r="N55" s="4"/>
      <c r="O55" s="4">
        <v>10.4</v>
      </c>
      <c r="P55" s="4">
        <f>(O55*V55)</f>
        <v>420.33333333333331</v>
      </c>
      <c r="Q55" s="4">
        <f>((P55*B55)/2000)</f>
        <v>4.2033333333333331</v>
      </c>
      <c r="V55">
        <f>LEFT(F55,FIND("-",F55)-2)+SUBSTITUTE(REPLACE(F55,1,FIND("-",F55),""),CHAR(34),"")/12</f>
        <v>40.416666666666664</v>
      </c>
    </row>
    <row r="56" spans="1:22" x14ac:dyDescent="0.25">
      <c r="B56" s="6"/>
      <c r="P56" s="4"/>
      <c r="Q56" s="4"/>
    </row>
    <row r="57" spans="1:22" x14ac:dyDescent="0.25">
      <c r="A57" s="4" t="s">
        <v>76</v>
      </c>
      <c r="B57" s="5">
        <v>9</v>
      </c>
      <c r="C57" s="4" t="s">
        <v>58</v>
      </c>
      <c r="D57" s="4" t="s">
        <v>84</v>
      </c>
      <c r="E57" s="4">
        <v>194</v>
      </c>
      <c r="F57" s="4" t="s">
        <v>82</v>
      </c>
      <c r="G57" s="4"/>
      <c r="H57" s="4"/>
      <c r="I57" s="4"/>
      <c r="J57" s="4" t="s">
        <v>83</v>
      </c>
      <c r="K57" s="4"/>
      <c r="L57" s="4"/>
      <c r="M57" s="4"/>
      <c r="N57" s="4"/>
      <c r="O57" s="4">
        <v>17.5</v>
      </c>
      <c r="P57" s="4">
        <f t="shared" ref="P57:P63" si="0">(O57*V57)</f>
        <v>707.29166666666663</v>
      </c>
      <c r="Q57" s="4">
        <f t="shared" ref="Q57:Q63" si="1">((P57*B57)/2000)</f>
        <v>3.1828124999999998</v>
      </c>
      <c r="V57">
        <f t="shared" ref="V57:V63" si="2">LEFT(F57,FIND("-",F57)-2)+SUBSTITUTE(REPLACE(F57,1,FIND("-",F57),""),CHAR(34),"")/12</f>
        <v>40.416666666666664</v>
      </c>
    </row>
    <row r="58" spans="1:22" x14ac:dyDescent="0.25">
      <c r="B58" s="6"/>
      <c r="P58" s="4"/>
      <c r="Q58" s="4"/>
    </row>
    <row r="59" spans="1:22" x14ac:dyDescent="0.25">
      <c r="A59" s="4" t="s">
        <v>77</v>
      </c>
      <c r="B59" s="5">
        <v>45</v>
      </c>
      <c r="C59" s="4" t="s">
        <v>58</v>
      </c>
      <c r="D59" s="4" t="s">
        <v>81</v>
      </c>
      <c r="E59" s="4">
        <v>194</v>
      </c>
      <c r="F59" s="4" t="s">
        <v>87</v>
      </c>
      <c r="G59" s="4"/>
      <c r="H59" s="4"/>
      <c r="I59" s="4"/>
      <c r="J59" s="4" t="s">
        <v>83</v>
      </c>
      <c r="K59" s="4"/>
      <c r="L59" s="4"/>
      <c r="M59" s="4"/>
      <c r="N59" s="4"/>
      <c r="O59" s="4">
        <v>10.4</v>
      </c>
      <c r="P59" s="4">
        <f t="shared" si="0"/>
        <v>419.4666666666667</v>
      </c>
      <c r="Q59" s="4">
        <f t="shared" si="1"/>
        <v>9.4380000000000006</v>
      </c>
      <c r="V59">
        <f t="shared" si="2"/>
        <v>40.333333333333336</v>
      </c>
    </row>
    <row r="60" spans="1:22" x14ac:dyDescent="0.25">
      <c r="B60" s="6"/>
      <c r="P60" s="4"/>
      <c r="Q60" s="4"/>
    </row>
    <row r="61" spans="1:22" x14ac:dyDescent="0.25">
      <c r="A61" s="4" t="s">
        <v>78</v>
      </c>
      <c r="B61" s="5">
        <v>13</v>
      </c>
      <c r="C61" s="4" t="s">
        <v>58</v>
      </c>
      <c r="D61" s="4" t="s">
        <v>84</v>
      </c>
      <c r="E61" s="4">
        <v>194</v>
      </c>
      <c r="F61" s="4" t="s">
        <v>87</v>
      </c>
      <c r="G61" s="4"/>
      <c r="H61" s="4"/>
      <c r="I61" s="4"/>
      <c r="J61" s="4" t="s">
        <v>83</v>
      </c>
      <c r="K61" s="4"/>
      <c r="L61" s="4"/>
      <c r="M61" s="4"/>
      <c r="N61" s="4"/>
      <c r="O61" s="4">
        <v>17.5</v>
      </c>
      <c r="P61" s="4">
        <f t="shared" si="0"/>
        <v>705.83333333333337</v>
      </c>
      <c r="Q61" s="4">
        <f t="shared" si="1"/>
        <v>4.5879166666666666</v>
      </c>
      <c r="V61">
        <f t="shared" si="2"/>
        <v>40.333333333333336</v>
      </c>
    </row>
    <row r="62" spans="1:22" x14ac:dyDescent="0.25">
      <c r="B62" s="6"/>
      <c r="P62" s="4"/>
      <c r="Q62" s="4"/>
    </row>
    <row r="63" spans="1:22" x14ac:dyDescent="0.25">
      <c r="A63" s="4" t="s">
        <v>79</v>
      </c>
      <c r="B63" s="5">
        <v>17</v>
      </c>
      <c r="C63" s="4" t="s">
        <v>58</v>
      </c>
      <c r="D63" s="4" t="s">
        <v>81</v>
      </c>
      <c r="E63" s="4">
        <v>194</v>
      </c>
      <c r="F63" s="4" t="s">
        <v>88</v>
      </c>
      <c r="G63" s="4"/>
      <c r="H63" s="4"/>
      <c r="I63" s="4"/>
      <c r="J63" s="4" t="s">
        <v>83</v>
      </c>
      <c r="K63" s="4"/>
      <c r="L63" s="4"/>
      <c r="M63" s="4"/>
      <c r="N63" s="4"/>
      <c r="O63" s="4">
        <v>10.4</v>
      </c>
      <c r="P63" s="4">
        <f t="shared" si="0"/>
        <v>425.5333333333333</v>
      </c>
      <c r="Q63" s="4">
        <f t="shared" si="1"/>
        <v>3.6170333333333327</v>
      </c>
      <c r="V63">
        <f t="shared" si="2"/>
        <v>40.916666666666664</v>
      </c>
    </row>
    <row r="64" spans="1:22" x14ac:dyDescent="0.25">
      <c r="B64" s="6"/>
      <c r="P64" s="4"/>
      <c r="Q64" s="4"/>
    </row>
    <row r="65" spans="1:22" x14ac:dyDescent="0.25">
      <c r="A65" s="4" t="s">
        <v>80</v>
      </c>
      <c r="B65" s="5">
        <v>12</v>
      </c>
      <c r="C65" s="4" t="s">
        <v>58</v>
      </c>
      <c r="D65" s="4" t="s">
        <v>84</v>
      </c>
      <c r="E65" s="4">
        <v>194</v>
      </c>
      <c r="F65" s="4" t="s">
        <v>88</v>
      </c>
      <c r="G65" s="4"/>
      <c r="H65" s="4"/>
      <c r="I65" s="4"/>
      <c r="J65" s="4" t="s">
        <v>83</v>
      </c>
      <c r="K65" s="4"/>
      <c r="L65" s="4"/>
      <c r="M65" s="4"/>
      <c r="N65" s="4"/>
      <c r="O65" s="4">
        <v>17.5</v>
      </c>
      <c r="P65" s="4">
        <f>(O65*V65)</f>
        <v>716.04166666666663</v>
      </c>
      <c r="Q65" s="4">
        <f>((P65*B65)/2000)</f>
        <v>4.2962499999999997</v>
      </c>
      <c r="V65">
        <f>LEFT(F65,FIND("-",F65)-2)+SUBSTITUTE(REPLACE(F65,1,FIND("-",F65),""),CHAR(34),"")/12</f>
        <v>40.916666666666664</v>
      </c>
    </row>
    <row r="66" spans="1:22" x14ac:dyDescent="0.25">
      <c r="B66" s="6"/>
      <c r="P66" s="4"/>
      <c r="Q66" s="4"/>
    </row>
    <row r="67" spans="1:22" x14ac:dyDescent="0.25">
      <c r="B67" s="6">
        <f>SUM(B55:B65)</f>
        <v>116</v>
      </c>
      <c r="P67" s="4"/>
      <c r="Q67" s="4">
        <f>SUM(Q55:Q65)+SUM(Q55:Q65)*0.1</f>
        <v>32.257880416666666</v>
      </c>
    </row>
    <row r="71" spans="1:22" x14ac:dyDescent="0.25">
      <c r="A71" s="4" t="s">
        <v>89</v>
      </c>
      <c r="B71" s="5">
        <v>3</v>
      </c>
      <c r="C71" s="4" t="s">
        <v>52</v>
      </c>
      <c r="D71" s="4" t="s">
        <v>100</v>
      </c>
      <c r="E71" s="4">
        <v>1140</v>
      </c>
      <c r="F71" s="4" t="s">
        <v>94</v>
      </c>
      <c r="G71" s="4"/>
      <c r="H71" s="4"/>
      <c r="I71" s="4"/>
      <c r="J71" s="4" t="s">
        <v>99</v>
      </c>
      <c r="K71" s="4"/>
      <c r="L71" s="4"/>
      <c r="M71" s="4"/>
      <c r="N71" s="4"/>
      <c r="O71" s="4">
        <f>38+5</f>
        <v>43</v>
      </c>
      <c r="P71" s="4">
        <f>(O71*V71)</f>
        <v>1487.0833333333335</v>
      </c>
      <c r="Q71" s="4">
        <f>((P71*B71)/2000)</f>
        <v>2.2306249999999999</v>
      </c>
      <c r="V71">
        <f>LEFT(F71,FIND("-",F71)-2)+SUBSTITUTE(REPLACE(F71,1,FIND("-",F71),""),CHAR(34),"")/12</f>
        <v>34.583333333333336</v>
      </c>
    </row>
    <row r="72" spans="1:22" x14ac:dyDescent="0.25">
      <c r="B72" s="6"/>
      <c r="P72" s="4"/>
      <c r="Q72" s="4"/>
    </row>
    <row r="73" spans="1:22" x14ac:dyDescent="0.25">
      <c r="A73" s="4" t="s">
        <v>90</v>
      </c>
      <c r="B73" s="5">
        <v>3</v>
      </c>
      <c r="C73" s="4" t="s">
        <v>52</v>
      </c>
      <c r="D73" s="4" t="s">
        <v>101</v>
      </c>
      <c r="E73" s="4">
        <v>1140</v>
      </c>
      <c r="F73" s="4" t="s">
        <v>95</v>
      </c>
      <c r="G73" s="4"/>
      <c r="H73" s="4"/>
      <c r="I73" s="4"/>
      <c r="J73" s="4" t="s">
        <v>99</v>
      </c>
      <c r="K73" s="4"/>
      <c r="L73" s="4"/>
      <c r="M73" s="4"/>
      <c r="N73" s="4"/>
      <c r="O73" s="4">
        <f>41+5</f>
        <v>46</v>
      </c>
      <c r="P73" s="4">
        <f t="shared" ref="P73:P79" si="3">(O73*V73)</f>
        <v>1253.5</v>
      </c>
      <c r="Q73" s="4">
        <f t="shared" ref="Q73:Q79" si="4">((P73*B73)/2000)</f>
        <v>1.88025</v>
      </c>
      <c r="V73">
        <f t="shared" ref="V73:V79" si="5">LEFT(F73,FIND("-",F73)-2)+SUBSTITUTE(REPLACE(F73,1,FIND("-",F73),""),CHAR(34),"")/12</f>
        <v>27.25</v>
      </c>
    </row>
    <row r="74" spans="1:22" x14ac:dyDescent="0.25">
      <c r="B74" s="6"/>
      <c r="P74" s="4"/>
      <c r="Q74" s="4"/>
    </row>
    <row r="75" spans="1:22" x14ac:dyDescent="0.25">
      <c r="A75" s="4" t="s">
        <v>91</v>
      </c>
      <c r="B75" s="5">
        <v>3</v>
      </c>
      <c r="C75" s="4" t="s">
        <v>52</v>
      </c>
      <c r="D75" s="4" t="s">
        <v>102</v>
      </c>
      <c r="E75" s="4">
        <v>1140</v>
      </c>
      <c r="F75" s="4" t="s">
        <v>96</v>
      </c>
      <c r="G75" s="4"/>
      <c r="H75" s="4"/>
      <c r="I75" s="4"/>
      <c r="J75" s="4" t="s">
        <v>99</v>
      </c>
      <c r="K75" s="4"/>
      <c r="L75" s="4"/>
      <c r="M75" s="4"/>
      <c r="N75" s="4"/>
      <c r="O75" s="4">
        <f>41+5</f>
        <v>46</v>
      </c>
      <c r="P75" s="4">
        <f t="shared" si="3"/>
        <v>1755.6666666666665</v>
      </c>
      <c r="Q75" s="4">
        <f t="shared" si="4"/>
        <v>2.6335000000000002</v>
      </c>
      <c r="V75">
        <f t="shared" si="5"/>
        <v>38.166666666666664</v>
      </c>
    </row>
    <row r="76" spans="1:22" x14ac:dyDescent="0.25">
      <c r="B76" s="6"/>
      <c r="P76" s="4"/>
      <c r="Q76" s="4"/>
    </row>
    <row r="77" spans="1:22" x14ac:dyDescent="0.25">
      <c r="A77" s="4" t="s">
        <v>92</v>
      </c>
      <c r="B77" s="5">
        <v>3</v>
      </c>
      <c r="C77" s="4" t="s">
        <v>52</v>
      </c>
      <c r="D77" s="4" t="s">
        <v>100</v>
      </c>
      <c r="E77" s="4">
        <v>1140</v>
      </c>
      <c r="F77" s="4" t="s">
        <v>97</v>
      </c>
      <c r="G77" s="4"/>
      <c r="H77" s="4"/>
      <c r="I77" s="4"/>
      <c r="J77" s="4" t="s">
        <v>99</v>
      </c>
      <c r="K77" s="4"/>
      <c r="L77" s="4"/>
      <c r="M77" s="4"/>
      <c r="N77" s="4"/>
      <c r="O77" s="4">
        <f>38+5</f>
        <v>43</v>
      </c>
      <c r="P77" s="4">
        <f t="shared" si="3"/>
        <v>1458.4166666666665</v>
      </c>
      <c r="Q77" s="4">
        <f t="shared" si="4"/>
        <v>2.1876250000000002</v>
      </c>
      <c r="V77">
        <f t="shared" si="5"/>
        <v>33.916666666666664</v>
      </c>
    </row>
    <row r="78" spans="1:22" x14ac:dyDescent="0.25">
      <c r="B78" s="6"/>
      <c r="P78" s="4"/>
      <c r="Q78" s="4"/>
    </row>
    <row r="79" spans="1:22" x14ac:dyDescent="0.25">
      <c r="A79" s="4" t="s">
        <v>93</v>
      </c>
      <c r="B79" s="5">
        <v>3</v>
      </c>
      <c r="C79" s="4" t="s">
        <v>52</v>
      </c>
      <c r="D79" s="4" t="s">
        <v>100</v>
      </c>
      <c r="E79" s="4">
        <v>1140</v>
      </c>
      <c r="F79" s="4" t="s">
        <v>98</v>
      </c>
      <c r="G79" s="4"/>
      <c r="H79" s="4"/>
      <c r="I79" s="4"/>
      <c r="J79" s="4" t="s">
        <v>99</v>
      </c>
      <c r="K79" s="4"/>
      <c r="L79" s="4"/>
      <c r="M79" s="4"/>
      <c r="N79" s="4"/>
      <c r="O79" s="4">
        <f>38+5</f>
        <v>43</v>
      </c>
      <c r="P79" s="4">
        <f t="shared" si="3"/>
        <v>1408.25</v>
      </c>
      <c r="Q79" s="4">
        <f t="shared" si="4"/>
        <v>2.1123750000000001</v>
      </c>
      <c r="V79">
        <f t="shared" si="5"/>
        <v>32.75</v>
      </c>
    </row>
    <row r="80" spans="1:22" x14ac:dyDescent="0.25">
      <c r="B80" s="6"/>
      <c r="P80" s="4"/>
      <c r="Q80" s="4"/>
    </row>
    <row r="81" spans="1:17" x14ac:dyDescent="0.25">
      <c r="B81">
        <f>SUM(B71:B79)</f>
        <v>15</v>
      </c>
      <c r="Q81">
        <f>SUM(Q71:Q80)+SUM(Q71:Q80)*0.1</f>
        <v>12.1488125</v>
      </c>
    </row>
    <row r="83" spans="1:17" x14ac:dyDescent="0.25">
      <c r="C83" s="19" t="s">
        <v>37</v>
      </c>
      <c r="D83" s="19"/>
      <c r="E83" s="19"/>
      <c r="F83" s="19"/>
    </row>
    <row r="84" spans="1:17" x14ac:dyDescent="0.25">
      <c r="C84" s="2"/>
      <c r="D84" s="2"/>
      <c r="E84" s="2"/>
      <c r="F84" s="2"/>
      <c r="O84" t="s">
        <v>31</v>
      </c>
      <c r="P84" t="s">
        <v>33</v>
      </c>
      <c r="Q84" t="s">
        <v>35</v>
      </c>
    </row>
    <row r="85" spans="1:17" x14ac:dyDescent="0.25">
      <c r="A85" s="1" t="s">
        <v>38</v>
      </c>
      <c r="B85" s="1" t="s">
        <v>44</v>
      </c>
      <c r="C85" t="s">
        <v>45</v>
      </c>
      <c r="D85" s="1" t="s">
        <v>5</v>
      </c>
      <c r="G85" s="1"/>
      <c r="H85" s="1"/>
      <c r="I85" s="1" t="s">
        <v>39</v>
      </c>
      <c r="K85" s="1" t="s">
        <v>40</v>
      </c>
      <c r="L85" s="1"/>
      <c r="M85" s="1"/>
      <c r="N85" s="1"/>
      <c r="O85" s="1" t="s">
        <v>41</v>
      </c>
      <c r="P85" s="1" t="s">
        <v>34</v>
      </c>
      <c r="Q85" s="1" t="s">
        <v>42</v>
      </c>
    </row>
    <row r="86" spans="1:17" x14ac:dyDescent="0.25">
      <c r="A86" s="4" t="s">
        <v>103</v>
      </c>
      <c r="B86" s="4"/>
      <c r="C86" s="5">
        <f>5880/20</f>
        <v>294</v>
      </c>
      <c r="D86" s="4" t="s">
        <v>106</v>
      </c>
      <c r="E86" s="4"/>
      <c r="F86" s="4"/>
      <c r="G86" s="4"/>
      <c r="H86" s="4"/>
      <c r="I86" s="4"/>
      <c r="J86" s="4"/>
      <c r="K86" s="7">
        <v>5880</v>
      </c>
      <c r="L86" s="4"/>
      <c r="M86" s="4"/>
      <c r="N86" s="4"/>
      <c r="O86" s="4">
        <v>0.88700000000000001</v>
      </c>
      <c r="P86" s="4"/>
      <c r="Q86" s="4">
        <f>((O86*K86)/2000)</f>
        <v>2.60778</v>
      </c>
    </row>
    <row r="87" spans="1:17" x14ac:dyDescent="0.25">
      <c r="C87" s="6"/>
      <c r="K87" s="8"/>
      <c r="Q87" s="4">
        <f t="shared" ref="Q87:Q88" si="6">((O87*K87)/2000)</f>
        <v>0</v>
      </c>
    </row>
    <row r="88" spans="1:17" x14ac:dyDescent="0.25">
      <c r="A88" s="4" t="s">
        <v>104</v>
      </c>
      <c r="B88" s="4"/>
      <c r="C88" s="5">
        <f>15*4</f>
        <v>60</v>
      </c>
      <c r="D88" s="4" t="s">
        <v>105</v>
      </c>
      <c r="E88" s="4"/>
      <c r="F88" s="4"/>
      <c r="G88" s="4"/>
      <c r="H88" s="4"/>
      <c r="I88" s="4"/>
      <c r="J88" s="4"/>
      <c r="K88" s="7">
        <f>60*5</f>
        <v>300</v>
      </c>
      <c r="L88" s="4"/>
      <c r="M88" s="4"/>
      <c r="N88" s="4"/>
      <c r="O88" s="4">
        <v>1.8009999999999999</v>
      </c>
      <c r="P88" s="4"/>
      <c r="Q88" s="4">
        <f t="shared" si="6"/>
        <v>0.27015</v>
      </c>
    </row>
    <row r="89" spans="1:17" x14ac:dyDescent="0.25">
      <c r="C89" s="6"/>
      <c r="K89" s="8"/>
      <c r="Q89" s="4"/>
    </row>
    <row r="90" spans="1:17" x14ac:dyDescent="0.25">
      <c r="Q90" s="4">
        <f>SUM(Q86:Q88)</f>
        <v>2.8779300000000001</v>
      </c>
    </row>
  </sheetData>
  <mergeCells count="13">
    <mergeCell ref="O21:P21"/>
    <mergeCell ref="C25:F25"/>
    <mergeCell ref="C52:F52"/>
    <mergeCell ref="C83:F83"/>
    <mergeCell ref="A6:E6"/>
    <mergeCell ref="B16:F16"/>
    <mergeCell ref="B34:F34"/>
    <mergeCell ref="C43:F43"/>
    <mergeCell ref="B2:C2"/>
    <mergeCell ref="F2:G2"/>
    <mergeCell ref="K2:P2"/>
    <mergeCell ref="B4:D4"/>
    <mergeCell ref="F4:G4"/>
  </mergeCells>
  <pageMargins left="0.7" right="0.7" top="0.75" bottom="0.75" header="0.3" footer="0.3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Bldg 1</vt:lpstr>
      <vt:lpstr>'Bldg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Ackley, Ron (VNY)</dc:creator>
  <cp:lastModifiedBy>Ron Ackley</cp:lastModifiedBy>
  <cp:lastPrinted>2026-02-16T03:22:09Z</cp:lastPrinted>
  <dcterms:created xsi:type="dcterms:W3CDTF">2024-04-01T15:36:38Z</dcterms:created>
  <dcterms:modified xsi:type="dcterms:W3CDTF">2026-02-16T03:22:32Z</dcterms:modified>
</cp:coreProperties>
</file>