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calvert/Downloads/"/>
    </mc:Choice>
  </mc:AlternateContent>
  <xr:revisionPtr revIDLastSave="0" documentId="8_{58755D51-3476-1248-9AFC-8252FC50CF76}" xr6:coauthVersionLast="47" xr6:coauthVersionMax="47" xr10:uidLastSave="{00000000-0000-0000-0000-000000000000}"/>
  <bookViews>
    <workbookView xWindow="0" yWindow="500" windowWidth="35840" windowHeight="21900" xr2:uid="{A04E4571-9A7D-D546-8E77-1E041D2CF682}"/>
  </bookViews>
  <sheets>
    <sheet name="Canam Deck Catalog" sheetId="1" r:id="rId1"/>
  </sheets>
  <externalReferences>
    <externalReference r:id="rId2"/>
  </externalReferences>
  <definedNames>
    <definedName name="_xlnm._FilterDatabase" localSheetId="0" hidden="1">'Canam Deck Catalog'!$A$1:$O$254</definedName>
    <definedName name="ColumnTitle1">#REF!</definedName>
    <definedName name="ColumnTitleRegion1..B6.1">#REF!</definedName>
    <definedName name="ColumnTitleRegion10..B24.1">#REF!</definedName>
    <definedName name="ColumnTitleRegion11..B26.1">#REF!</definedName>
    <definedName name="ColumnTitleRegion12..B28.1">#REF!</definedName>
    <definedName name="ColumnTitleRegion13..B30.1">#REF!</definedName>
    <definedName name="ColumnTitleRegion14..D33">#REF!</definedName>
    <definedName name="ColumnTitleRegion2..B8.1">#REF!</definedName>
    <definedName name="ColumnTitleRegion3..B10.1">#REF!</definedName>
    <definedName name="ColumnTitleRegion4..B12.1">#REF!</definedName>
    <definedName name="ColumnTitleRegion5..B14.1">#REF!</definedName>
    <definedName name="ColumnTitleRegion6..B16.1">#REF!</definedName>
    <definedName name="ColumnTitleRegion7..B18.1">#REF!</definedName>
    <definedName name="ColumnTitleRegion8..B20.1">#REF!</definedName>
    <definedName name="ColumnTitleRegion9..B22.1">#REF!</definedName>
    <definedName name="Other">#REF!</definedName>
    <definedName name="RowTitleRegion1..G35">#REF!</definedName>
    <definedName name="Subtotal">#REF!</definedName>
    <definedName name="TaxRate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8" i="1" l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7" i="1"/>
  <c r="K217" i="1"/>
  <c r="J217" i="1"/>
  <c r="L216" i="1"/>
  <c r="J216" i="1"/>
  <c r="K216" i="1" s="1"/>
  <c r="L215" i="1"/>
  <c r="J215" i="1"/>
  <c r="K215" i="1" s="1"/>
  <c r="L214" i="1"/>
  <c r="J214" i="1"/>
  <c r="K214" i="1" s="1"/>
  <c r="N213" i="1"/>
  <c r="L213" i="1"/>
  <c r="J213" i="1"/>
  <c r="K213" i="1" s="1"/>
  <c r="N212" i="1"/>
  <c r="L212" i="1"/>
  <c r="J212" i="1"/>
  <c r="K212" i="1" s="1"/>
  <c r="N211" i="1"/>
  <c r="L211" i="1"/>
  <c r="J211" i="1"/>
  <c r="K211" i="1" s="1"/>
  <c r="N210" i="1"/>
  <c r="L210" i="1"/>
  <c r="J210" i="1"/>
  <c r="K210" i="1" s="1"/>
  <c r="N209" i="1"/>
  <c r="L209" i="1"/>
  <c r="J209" i="1"/>
  <c r="K209" i="1" s="1"/>
  <c r="N208" i="1"/>
  <c r="L208" i="1"/>
  <c r="J208" i="1"/>
  <c r="K208" i="1" s="1"/>
  <c r="N207" i="1"/>
  <c r="L207" i="1"/>
  <c r="J207" i="1"/>
  <c r="K207" i="1" s="1"/>
  <c r="N206" i="1"/>
  <c r="L206" i="1"/>
  <c r="J206" i="1"/>
  <c r="K206" i="1" s="1"/>
  <c r="N205" i="1"/>
  <c r="L205" i="1"/>
  <c r="J205" i="1"/>
  <c r="K205" i="1" s="1"/>
  <c r="N204" i="1"/>
  <c r="L204" i="1"/>
  <c r="J204" i="1"/>
  <c r="K204" i="1" s="1"/>
  <c r="N203" i="1"/>
  <c r="L203" i="1"/>
  <c r="J203" i="1"/>
  <c r="K203" i="1" s="1"/>
  <c r="N202" i="1"/>
  <c r="L202" i="1"/>
  <c r="J202" i="1"/>
  <c r="K202" i="1" s="1"/>
  <c r="N201" i="1"/>
  <c r="L201" i="1"/>
  <c r="J201" i="1"/>
  <c r="K201" i="1" s="1"/>
  <c r="N200" i="1"/>
  <c r="L200" i="1"/>
  <c r="J200" i="1"/>
  <c r="K200" i="1" s="1"/>
  <c r="N199" i="1"/>
  <c r="L199" i="1"/>
  <c r="J199" i="1"/>
  <c r="K199" i="1" s="1"/>
  <c r="N198" i="1"/>
  <c r="L198" i="1"/>
  <c r="J198" i="1"/>
  <c r="K198" i="1" s="1"/>
  <c r="N197" i="1"/>
  <c r="L197" i="1"/>
  <c r="J197" i="1"/>
  <c r="K197" i="1" s="1"/>
  <c r="N196" i="1"/>
  <c r="L196" i="1"/>
  <c r="J196" i="1"/>
  <c r="K196" i="1" s="1"/>
  <c r="N195" i="1"/>
  <c r="L195" i="1"/>
  <c r="J195" i="1"/>
  <c r="K195" i="1" s="1"/>
  <c r="N194" i="1"/>
  <c r="L194" i="1"/>
  <c r="J194" i="1"/>
  <c r="K194" i="1" s="1"/>
  <c r="N193" i="1"/>
  <c r="L193" i="1"/>
  <c r="J193" i="1"/>
  <c r="K193" i="1" s="1"/>
  <c r="N192" i="1"/>
  <c r="L192" i="1"/>
  <c r="J192" i="1"/>
  <c r="K192" i="1" s="1"/>
  <c r="N191" i="1"/>
  <c r="L191" i="1"/>
  <c r="J191" i="1"/>
  <c r="K191" i="1" s="1"/>
  <c r="N190" i="1"/>
  <c r="L190" i="1"/>
  <c r="J190" i="1"/>
  <c r="K190" i="1" s="1"/>
  <c r="N189" i="1"/>
  <c r="L189" i="1"/>
  <c r="J189" i="1"/>
  <c r="K189" i="1" s="1"/>
  <c r="N188" i="1"/>
  <c r="L188" i="1"/>
  <c r="J188" i="1"/>
  <c r="K188" i="1" s="1"/>
  <c r="N187" i="1"/>
  <c r="L187" i="1"/>
  <c r="J187" i="1"/>
  <c r="K187" i="1" s="1"/>
  <c r="N186" i="1"/>
  <c r="L186" i="1"/>
  <c r="J186" i="1"/>
  <c r="K186" i="1" s="1"/>
  <c r="N185" i="1"/>
  <c r="L185" i="1"/>
  <c r="J185" i="1"/>
  <c r="K185" i="1" s="1"/>
  <c r="N184" i="1"/>
  <c r="L184" i="1"/>
  <c r="J184" i="1"/>
  <c r="K184" i="1" s="1"/>
  <c r="N183" i="1"/>
  <c r="L183" i="1"/>
  <c r="J183" i="1"/>
  <c r="K183" i="1" s="1"/>
  <c r="N182" i="1"/>
  <c r="L182" i="1"/>
  <c r="J182" i="1"/>
  <c r="K182" i="1" s="1"/>
  <c r="N181" i="1"/>
  <c r="L181" i="1"/>
  <c r="J181" i="1"/>
  <c r="K181" i="1" s="1"/>
  <c r="N180" i="1"/>
  <c r="L180" i="1"/>
  <c r="J180" i="1"/>
  <c r="K180" i="1" s="1"/>
  <c r="N179" i="1"/>
  <c r="L179" i="1"/>
  <c r="J179" i="1"/>
  <c r="K179" i="1" s="1"/>
  <c r="N178" i="1"/>
  <c r="L178" i="1"/>
  <c r="J178" i="1"/>
  <c r="K178" i="1" s="1"/>
  <c r="N177" i="1"/>
  <c r="L177" i="1"/>
  <c r="J177" i="1"/>
  <c r="K177" i="1" s="1"/>
  <c r="N176" i="1"/>
  <c r="L176" i="1"/>
  <c r="J176" i="1"/>
  <c r="K176" i="1" s="1"/>
  <c r="N175" i="1"/>
  <c r="L175" i="1"/>
  <c r="J175" i="1"/>
  <c r="K175" i="1" s="1"/>
  <c r="N174" i="1"/>
  <c r="L174" i="1"/>
  <c r="J174" i="1"/>
  <c r="K174" i="1" s="1"/>
  <c r="N173" i="1"/>
  <c r="L173" i="1"/>
  <c r="J173" i="1"/>
  <c r="K173" i="1" s="1"/>
  <c r="N172" i="1"/>
  <c r="L172" i="1"/>
  <c r="J172" i="1"/>
  <c r="K172" i="1" s="1"/>
  <c r="N171" i="1"/>
  <c r="L171" i="1"/>
  <c r="J171" i="1"/>
  <c r="K171" i="1" s="1"/>
  <c r="N170" i="1"/>
  <c r="L170" i="1"/>
  <c r="J170" i="1"/>
  <c r="K170" i="1" s="1"/>
  <c r="N169" i="1"/>
  <c r="L169" i="1"/>
  <c r="J169" i="1"/>
  <c r="K169" i="1" s="1"/>
  <c r="N168" i="1"/>
  <c r="L168" i="1"/>
  <c r="J168" i="1"/>
  <c r="K168" i="1" s="1"/>
  <c r="N167" i="1"/>
  <c r="L167" i="1"/>
  <c r="J167" i="1"/>
  <c r="K167" i="1" s="1"/>
  <c r="N166" i="1"/>
  <c r="L166" i="1"/>
  <c r="J166" i="1"/>
  <c r="K166" i="1" s="1"/>
  <c r="N165" i="1"/>
  <c r="L165" i="1"/>
  <c r="J165" i="1"/>
  <c r="K165" i="1" s="1"/>
  <c r="N164" i="1"/>
  <c r="L164" i="1"/>
  <c r="J164" i="1"/>
  <c r="K164" i="1" s="1"/>
  <c r="N163" i="1"/>
  <c r="L163" i="1"/>
  <c r="J163" i="1"/>
  <c r="K163" i="1" s="1"/>
  <c r="N162" i="1"/>
  <c r="L162" i="1"/>
  <c r="J162" i="1"/>
  <c r="K162" i="1" s="1"/>
  <c r="N161" i="1"/>
  <c r="L161" i="1"/>
  <c r="J161" i="1"/>
  <c r="K161" i="1" s="1"/>
  <c r="N160" i="1"/>
  <c r="L160" i="1"/>
  <c r="J160" i="1"/>
  <c r="K160" i="1" s="1"/>
  <c r="N159" i="1"/>
  <c r="L159" i="1"/>
  <c r="J159" i="1"/>
  <c r="K159" i="1" s="1"/>
  <c r="N158" i="1"/>
  <c r="L158" i="1"/>
  <c r="J158" i="1"/>
  <c r="K158" i="1" s="1"/>
  <c r="N157" i="1"/>
  <c r="L157" i="1"/>
  <c r="J157" i="1"/>
  <c r="K157" i="1" s="1"/>
  <c r="N156" i="1"/>
  <c r="L156" i="1"/>
  <c r="J156" i="1"/>
  <c r="K156" i="1" s="1"/>
  <c r="N155" i="1"/>
  <c r="L155" i="1"/>
  <c r="J155" i="1"/>
  <c r="K155" i="1" s="1"/>
  <c r="N154" i="1"/>
  <c r="L154" i="1"/>
  <c r="J154" i="1"/>
  <c r="K154" i="1" s="1"/>
  <c r="N153" i="1"/>
  <c r="L153" i="1"/>
  <c r="J153" i="1"/>
  <c r="K153" i="1" s="1"/>
  <c r="N152" i="1"/>
  <c r="L152" i="1"/>
  <c r="J152" i="1"/>
  <c r="K152" i="1" s="1"/>
  <c r="N151" i="1"/>
  <c r="L151" i="1"/>
  <c r="J151" i="1"/>
  <c r="K151" i="1" s="1"/>
  <c r="L150" i="1"/>
  <c r="J150" i="1"/>
  <c r="K150" i="1" s="1"/>
  <c r="L149" i="1"/>
  <c r="J149" i="1"/>
  <c r="K149" i="1" s="1"/>
  <c r="N148" i="1"/>
  <c r="L148" i="1"/>
  <c r="K148" i="1"/>
  <c r="J148" i="1"/>
  <c r="L147" i="1"/>
  <c r="J147" i="1"/>
  <c r="K147" i="1" s="1"/>
  <c r="L146" i="1"/>
  <c r="J146" i="1"/>
  <c r="K146" i="1" s="1"/>
  <c r="L145" i="1"/>
  <c r="K145" i="1"/>
  <c r="J145" i="1"/>
  <c r="L144" i="1"/>
  <c r="J144" i="1"/>
  <c r="K144" i="1" s="1"/>
  <c r="N143" i="1"/>
  <c r="L143" i="1"/>
  <c r="K143" i="1"/>
  <c r="J143" i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N138" i="1"/>
  <c r="L138" i="1"/>
  <c r="K138" i="1"/>
  <c r="J138" i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N133" i="1"/>
  <c r="L133" i="1"/>
  <c r="K133" i="1"/>
  <c r="J133" i="1"/>
  <c r="L132" i="1"/>
  <c r="J132" i="1"/>
  <c r="K132" i="1" s="1"/>
  <c r="L131" i="1"/>
  <c r="J131" i="1"/>
  <c r="K131" i="1" s="1"/>
  <c r="N130" i="1"/>
  <c r="L130" i="1"/>
  <c r="J130" i="1"/>
  <c r="K130" i="1" s="1"/>
  <c r="N129" i="1"/>
  <c r="L129" i="1"/>
  <c r="J129" i="1"/>
  <c r="K129" i="1" s="1"/>
  <c r="N128" i="1"/>
  <c r="L128" i="1"/>
  <c r="J128" i="1"/>
  <c r="K128" i="1" s="1"/>
  <c r="N127" i="1"/>
  <c r="L127" i="1"/>
  <c r="J127" i="1"/>
  <c r="K127" i="1" s="1"/>
  <c r="N126" i="1"/>
  <c r="L126" i="1"/>
  <c r="J126" i="1"/>
  <c r="K126" i="1" s="1"/>
  <c r="N125" i="1"/>
  <c r="L125" i="1"/>
  <c r="J125" i="1"/>
  <c r="K125" i="1" s="1"/>
  <c r="N124" i="1"/>
  <c r="L124" i="1"/>
  <c r="J124" i="1"/>
  <c r="K124" i="1" s="1"/>
  <c r="N123" i="1"/>
  <c r="L123" i="1"/>
  <c r="J123" i="1"/>
  <c r="K123" i="1" s="1"/>
  <c r="N122" i="1"/>
  <c r="L122" i="1"/>
  <c r="J122" i="1"/>
  <c r="K122" i="1" s="1"/>
  <c r="N121" i="1"/>
  <c r="L121" i="1"/>
  <c r="J121" i="1"/>
  <c r="K121" i="1" s="1"/>
  <c r="N120" i="1"/>
  <c r="L120" i="1"/>
  <c r="J120" i="1"/>
  <c r="K120" i="1" s="1"/>
  <c r="N119" i="1"/>
  <c r="L119" i="1"/>
  <c r="J119" i="1"/>
  <c r="K119" i="1" s="1"/>
  <c r="N118" i="1"/>
  <c r="L118" i="1"/>
  <c r="J118" i="1"/>
  <c r="K118" i="1" s="1"/>
  <c r="N117" i="1"/>
  <c r="L117" i="1"/>
  <c r="J117" i="1"/>
  <c r="K117" i="1" s="1"/>
  <c r="L116" i="1"/>
  <c r="K116" i="1"/>
  <c r="J116" i="1"/>
  <c r="L115" i="1"/>
  <c r="J115" i="1"/>
  <c r="K115" i="1" s="1"/>
  <c r="L114" i="1"/>
  <c r="J114" i="1"/>
  <c r="K114" i="1" s="1"/>
  <c r="L113" i="1"/>
  <c r="J113" i="1"/>
  <c r="K113" i="1" s="1"/>
  <c r="L112" i="1"/>
  <c r="K112" i="1"/>
  <c r="J112" i="1"/>
  <c r="L111" i="1"/>
  <c r="K111" i="1"/>
  <c r="J111" i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K106" i="1"/>
  <c r="J106" i="1"/>
  <c r="L105" i="1"/>
  <c r="J105" i="1"/>
  <c r="K105" i="1" s="1"/>
  <c r="L104" i="1"/>
  <c r="J104" i="1"/>
  <c r="K104" i="1" s="1"/>
  <c r="L103" i="1"/>
  <c r="K103" i="1"/>
  <c r="J103" i="1"/>
  <c r="L102" i="1"/>
  <c r="J102" i="1"/>
  <c r="K102" i="1" s="1"/>
  <c r="L101" i="1"/>
  <c r="J101" i="1"/>
  <c r="K101" i="1" s="1"/>
  <c r="N100" i="1"/>
  <c r="L100" i="1"/>
  <c r="J100" i="1"/>
  <c r="K100" i="1" s="1"/>
  <c r="N99" i="1"/>
  <c r="L99" i="1"/>
  <c r="J99" i="1"/>
  <c r="K99" i="1" s="1"/>
  <c r="N98" i="1"/>
  <c r="L98" i="1"/>
  <c r="J98" i="1"/>
  <c r="K98" i="1" s="1"/>
  <c r="N97" i="1"/>
  <c r="L97" i="1"/>
  <c r="J97" i="1"/>
  <c r="K97" i="1" s="1"/>
  <c r="N96" i="1"/>
  <c r="L96" i="1"/>
  <c r="J96" i="1"/>
  <c r="K96" i="1" s="1"/>
  <c r="N95" i="1"/>
  <c r="L95" i="1"/>
  <c r="J95" i="1"/>
  <c r="K95" i="1" s="1"/>
  <c r="N94" i="1"/>
  <c r="L94" i="1"/>
  <c r="J94" i="1"/>
  <c r="K94" i="1" s="1"/>
  <c r="N93" i="1"/>
  <c r="L93" i="1"/>
  <c r="J93" i="1"/>
  <c r="K93" i="1" s="1"/>
  <c r="N92" i="1"/>
  <c r="L92" i="1"/>
  <c r="J92" i="1"/>
  <c r="K92" i="1" s="1"/>
  <c r="N91" i="1"/>
  <c r="L91" i="1"/>
  <c r="J91" i="1"/>
  <c r="K91" i="1" s="1"/>
  <c r="N90" i="1"/>
  <c r="L90" i="1"/>
  <c r="J90" i="1"/>
  <c r="K90" i="1" s="1"/>
  <c r="N89" i="1"/>
  <c r="L89" i="1"/>
  <c r="J89" i="1"/>
  <c r="K89" i="1" s="1"/>
  <c r="N88" i="1"/>
  <c r="L88" i="1"/>
  <c r="J88" i="1"/>
  <c r="K88" i="1" s="1"/>
  <c r="N87" i="1"/>
  <c r="L87" i="1"/>
  <c r="J87" i="1"/>
  <c r="K87" i="1" s="1"/>
  <c r="L86" i="1"/>
  <c r="J86" i="1"/>
  <c r="K86" i="1" s="1"/>
  <c r="L85" i="1"/>
  <c r="J85" i="1"/>
  <c r="K85" i="1" s="1"/>
  <c r="L84" i="1"/>
  <c r="K84" i="1"/>
  <c r="J84" i="1"/>
  <c r="L83" i="1"/>
  <c r="J83" i="1"/>
  <c r="K83" i="1" s="1"/>
  <c r="L82" i="1"/>
  <c r="J82" i="1"/>
  <c r="K82" i="1" s="1"/>
  <c r="L81" i="1"/>
  <c r="K81" i="1"/>
  <c r="J81" i="1"/>
  <c r="L80" i="1"/>
  <c r="J80" i="1"/>
  <c r="K80" i="1" s="1"/>
  <c r="L79" i="1"/>
  <c r="J79" i="1"/>
  <c r="K79" i="1" s="1"/>
  <c r="L78" i="1"/>
  <c r="K78" i="1"/>
  <c r="J78" i="1"/>
  <c r="L77" i="1"/>
  <c r="J77" i="1"/>
  <c r="K77" i="1" s="1"/>
  <c r="L76" i="1"/>
  <c r="J76" i="1"/>
  <c r="K76" i="1" s="1"/>
  <c r="L75" i="1"/>
  <c r="J75" i="1"/>
  <c r="K75" i="1" s="1"/>
  <c r="L74" i="1"/>
  <c r="K74" i="1"/>
  <c r="J74" i="1"/>
  <c r="L73" i="1"/>
  <c r="K73" i="1"/>
  <c r="J73" i="1"/>
  <c r="L72" i="1"/>
  <c r="J72" i="1"/>
  <c r="K72" i="1" s="1"/>
  <c r="L71" i="1"/>
  <c r="J71" i="1"/>
  <c r="K71" i="1" s="1"/>
  <c r="N70" i="1"/>
  <c r="L70" i="1"/>
  <c r="J70" i="1"/>
  <c r="K70" i="1" s="1"/>
  <c r="N69" i="1"/>
  <c r="L69" i="1"/>
  <c r="J69" i="1"/>
  <c r="K69" i="1" s="1"/>
  <c r="N68" i="1"/>
  <c r="L68" i="1"/>
  <c r="J68" i="1"/>
  <c r="K68" i="1" s="1"/>
  <c r="N67" i="1"/>
  <c r="L67" i="1"/>
  <c r="J67" i="1"/>
  <c r="K67" i="1" s="1"/>
  <c r="N66" i="1"/>
  <c r="L66" i="1"/>
  <c r="J66" i="1"/>
  <c r="K66" i="1" s="1"/>
  <c r="N65" i="1"/>
  <c r="L65" i="1"/>
  <c r="J65" i="1"/>
  <c r="K65" i="1" s="1"/>
  <c r="N64" i="1"/>
  <c r="L64" i="1"/>
  <c r="J64" i="1"/>
  <c r="K64" i="1" s="1"/>
  <c r="N63" i="1"/>
  <c r="L63" i="1"/>
  <c r="J63" i="1"/>
  <c r="K63" i="1" s="1"/>
  <c r="N62" i="1"/>
  <c r="L62" i="1"/>
  <c r="J62" i="1"/>
  <c r="K62" i="1" s="1"/>
  <c r="N61" i="1"/>
  <c r="L61" i="1"/>
  <c r="J61" i="1"/>
  <c r="K61" i="1" s="1"/>
  <c r="N60" i="1"/>
  <c r="L60" i="1"/>
  <c r="J60" i="1"/>
  <c r="K60" i="1" s="1"/>
  <c r="N59" i="1"/>
  <c r="L59" i="1"/>
  <c r="J59" i="1"/>
  <c r="K59" i="1" s="1"/>
  <c r="N58" i="1"/>
  <c r="L58" i="1"/>
  <c r="J58" i="1"/>
  <c r="K58" i="1" s="1"/>
  <c r="N57" i="1"/>
  <c r="L57" i="1"/>
  <c r="J57" i="1"/>
  <c r="K57" i="1" s="1"/>
  <c r="L56" i="1"/>
  <c r="K56" i="1"/>
  <c r="J56" i="1"/>
  <c r="L55" i="1"/>
  <c r="J55" i="1"/>
  <c r="K55" i="1" s="1"/>
  <c r="L54" i="1"/>
  <c r="J54" i="1"/>
  <c r="K54" i="1" s="1"/>
  <c r="L53" i="1"/>
  <c r="J53" i="1"/>
  <c r="K53" i="1" s="1"/>
  <c r="L52" i="1"/>
  <c r="K52" i="1"/>
  <c r="J52" i="1"/>
  <c r="L51" i="1"/>
  <c r="K51" i="1"/>
  <c r="J51" i="1"/>
  <c r="L50" i="1"/>
  <c r="J50" i="1"/>
  <c r="K50" i="1" s="1"/>
  <c r="L49" i="1"/>
  <c r="J49" i="1"/>
  <c r="K49" i="1" s="1"/>
  <c r="L48" i="1"/>
  <c r="K48" i="1"/>
  <c r="J48" i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K43" i="1"/>
  <c r="J43" i="1"/>
  <c r="L42" i="1"/>
  <c r="L41" i="1"/>
  <c r="J41" i="1"/>
  <c r="K41" i="1" s="1"/>
  <c r="N40" i="1"/>
  <c r="L40" i="1"/>
  <c r="L39" i="1"/>
  <c r="J39" i="1"/>
  <c r="K39" i="1" s="1"/>
  <c r="N38" i="1"/>
  <c r="J42" i="1" s="1"/>
  <c r="K42" i="1" s="1"/>
  <c r="L38" i="1"/>
  <c r="N37" i="1"/>
  <c r="L37" i="1"/>
  <c r="K37" i="1"/>
  <c r="J37" i="1"/>
  <c r="N36" i="1"/>
  <c r="J40" i="1" s="1"/>
  <c r="K40" i="1" s="1"/>
  <c r="L36" i="1"/>
  <c r="N35" i="1"/>
  <c r="L35" i="1"/>
  <c r="J35" i="1"/>
  <c r="K35" i="1" s="1"/>
  <c r="N34" i="1"/>
  <c r="J38" i="1" s="1"/>
  <c r="K38" i="1" s="1"/>
  <c r="L34" i="1"/>
  <c r="N33" i="1"/>
  <c r="L33" i="1"/>
  <c r="K33" i="1"/>
  <c r="J33" i="1"/>
  <c r="N32" i="1"/>
  <c r="J36" i="1" s="1"/>
  <c r="K36" i="1" s="1"/>
  <c r="L32" i="1"/>
  <c r="N31" i="1"/>
  <c r="L31" i="1"/>
  <c r="J31" i="1"/>
  <c r="K31" i="1" s="1"/>
  <c r="N30" i="1"/>
  <c r="J34" i="1" s="1"/>
  <c r="K34" i="1" s="1"/>
  <c r="L30" i="1"/>
  <c r="N29" i="1"/>
  <c r="L29" i="1"/>
  <c r="K29" i="1"/>
  <c r="J29" i="1"/>
  <c r="N28" i="1"/>
  <c r="J32" i="1" s="1"/>
  <c r="K32" i="1" s="1"/>
  <c r="L28" i="1"/>
  <c r="L27" i="1"/>
  <c r="J27" i="1"/>
  <c r="K27" i="1" s="1"/>
  <c r="N26" i="1"/>
  <c r="J30" i="1" s="1"/>
  <c r="K30" i="1" s="1"/>
  <c r="L26" i="1"/>
  <c r="N25" i="1"/>
  <c r="L25" i="1"/>
  <c r="J25" i="1"/>
  <c r="K25" i="1" s="1"/>
  <c r="N24" i="1"/>
  <c r="J28" i="1" s="1"/>
  <c r="K28" i="1" s="1"/>
  <c r="L24" i="1"/>
  <c r="N23" i="1"/>
  <c r="L23" i="1"/>
  <c r="J23" i="1"/>
  <c r="K23" i="1" s="1"/>
  <c r="N22" i="1"/>
  <c r="J26" i="1" s="1"/>
  <c r="K26" i="1" s="1"/>
  <c r="L22" i="1"/>
  <c r="N21" i="1"/>
  <c r="L21" i="1"/>
  <c r="N20" i="1"/>
  <c r="J24" i="1" s="1"/>
  <c r="K24" i="1" s="1"/>
  <c r="L20" i="1"/>
  <c r="N19" i="1"/>
  <c r="L19" i="1"/>
  <c r="N18" i="1"/>
  <c r="J22" i="1" s="1"/>
  <c r="K22" i="1" s="1"/>
  <c r="L18" i="1"/>
  <c r="N17" i="1"/>
  <c r="J21" i="1" s="1"/>
  <c r="K21" i="1" s="1"/>
  <c r="L17" i="1"/>
  <c r="N16" i="1"/>
  <c r="J20" i="1" s="1"/>
  <c r="K20" i="1" s="1"/>
  <c r="L16" i="1"/>
  <c r="N15" i="1"/>
  <c r="L15" i="1"/>
  <c r="J15" i="1"/>
  <c r="K15" i="1" s="1"/>
  <c r="N14" i="1"/>
  <c r="L14" i="1"/>
  <c r="K14" i="1"/>
  <c r="J14" i="1"/>
  <c r="N13" i="1"/>
  <c r="L13" i="1"/>
  <c r="J13" i="1"/>
  <c r="K13" i="1" s="1"/>
  <c r="N12" i="1"/>
  <c r="J12" i="1" s="1"/>
  <c r="K12" i="1" s="1"/>
  <c r="L12" i="1"/>
  <c r="N11" i="1"/>
  <c r="L11" i="1"/>
  <c r="J11" i="1"/>
  <c r="K11" i="1" s="1"/>
  <c r="L10" i="1"/>
  <c r="J10" i="1"/>
  <c r="K10" i="1" s="1"/>
  <c r="N9" i="1"/>
  <c r="L9" i="1"/>
  <c r="J9" i="1"/>
  <c r="K9" i="1" s="1"/>
  <c r="N8" i="1"/>
  <c r="L8" i="1"/>
  <c r="J8" i="1"/>
  <c r="K8" i="1" s="1"/>
  <c r="N7" i="1"/>
  <c r="L7" i="1"/>
  <c r="J7" i="1"/>
  <c r="K7" i="1" s="1"/>
  <c r="N6" i="1"/>
  <c r="L6" i="1"/>
  <c r="J6" i="1"/>
  <c r="K6" i="1" s="1"/>
  <c r="N5" i="1"/>
  <c r="L5" i="1"/>
  <c r="J5" i="1"/>
  <c r="K5" i="1" s="1"/>
  <c r="N4" i="1"/>
  <c r="L4" i="1"/>
  <c r="J4" i="1"/>
  <c r="K4" i="1" s="1"/>
  <c r="N3" i="1"/>
  <c r="L3" i="1"/>
  <c r="J3" i="1"/>
  <c r="K3" i="1" s="1"/>
</calcChain>
</file>

<file path=xl/sharedStrings.xml><?xml version="1.0" encoding="utf-8"?>
<sst xmlns="http://schemas.openxmlformats.org/spreadsheetml/2006/main" count="747" uniqueCount="137">
  <si>
    <t>VULCRAFT</t>
  </si>
  <si>
    <t>CANAM</t>
  </si>
  <si>
    <t>Lbs / SQ</t>
  </si>
  <si>
    <t>DEPTH</t>
  </si>
  <si>
    <t>PROFILE</t>
  </si>
  <si>
    <t>GAUGE</t>
  </si>
  <si>
    <t>UNC</t>
  </si>
  <si>
    <t>G30</t>
  </si>
  <si>
    <t>G60</t>
  </si>
  <si>
    <t>G90</t>
  </si>
  <si>
    <t>CONCAT</t>
  </si>
  <si>
    <t>PRODUCT NAME</t>
  </si>
  <si>
    <t>GROSSED UP WEIGHTS</t>
  </si>
  <si>
    <t>WEIGHTS FROM CATALOG</t>
  </si>
  <si>
    <t>FORM DECK</t>
  </si>
  <si>
    <t>STANDARD</t>
  </si>
  <si>
    <t>C</t>
  </si>
  <si>
    <t>UFS</t>
  </si>
  <si>
    <t>Form Deck</t>
  </si>
  <si>
    <t>Vented</t>
  </si>
  <si>
    <t>Acoustical</t>
  </si>
  <si>
    <t>Cellular</t>
  </si>
  <si>
    <t>UF1X</t>
  </si>
  <si>
    <t>Dovetail</t>
  </si>
  <si>
    <t>UFX</t>
  </si>
  <si>
    <t>Form Deck Inverted</t>
  </si>
  <si>
    <t>UF2X</t>
  </si>
  <si>
    <t>VENTED</t>
  </si>
  <si>
    <t>CSV</t>
  </si>
  <si>
    <t>UFSV</t>
  </si>
  <si>
    <t>Vented Form Deck</t>
  </si>
  <si>
    <t>UF1XV</t>
  </si>
  <si>
    <t>UFXV</t>
  </si>
  <si>
    <t>UF2XV</t>
  </si>
  <si>
    <t>ROOF DECK</t>
  </si>
  <si>
    <t>ROOF FORM</t>
  </si>
  <si>
    <t>E</t>
  </si>
  <si>
    <t>Roof Form Deck</t>
  </si>
  <si>
    <t>B DECK</t>
  </si>
  <si>
    <t>B</t>
  </si>
  <si>
    <t>B Deck</t>
  </si>
  <si>
    <t>INTERLOCKING</t>
  </si>
  <si>
    <t>BI</t>
  </si>
  <si>
    <t>B Interlocking Sidelap</t>
  </si>
  <si>
    <t>ACOUSTICAL</t>
  </si>
  <si>
    <t>BA</t>
  </si>
  <si>
    <t>B Acoustical</t>
  </si>
  <si>
    <t>INTERLOCKING ACOUSTICAL</t>
  </si>
  <si>
    <t>BIA</t>
  </si>
  <si>
    <t>B Interlocking Acoustical</t>
  </si>
  <si>
    <t>CELLULAR</t>
  </si>
  <si>
    <t>BP</t>
  </si>
  <si>
    <t>BCS</t>
  </si>
  <si>
    <t>20/18</t>
  </si>
  <si>
    <t xml:space="preserve">B Cellular </t>
  </si>
  <si>
    <t>18/20</t>
  </si>
  <si>
    <t>18/16</t>
  </si>
  <si>
    <t>16/18</t>
  </si>
  <si>
    <t>CELLULAR ACOUSTICAL</t>
  </si>
  <si>
    <t>BPA</t>
  </si>
  <si>
    <t>BCAS</t>
  </si>
  <si>
    <t>B Cellular Acoustical</t>
  </si>
  <si>
    <t>N-24</t>
  </si>
  <si>
    <t>NS24</t>
  </si>
  <si>
    <t>N Deck 24"</t>
  </si>
  <si>
    <t>NI-24</t>
  </si>
  <si>
    <t>NI24</t>
  </si>
  <si>
    <t>N Deck 24" Interlocking</t>
  </si>
  <si>
    <t>NA-24</t>
  </si>
  <si>
    <t>NSA24</t>
  </si>
  <si>
    <t>N Deck 24" Acoustical</t>
  </si>
  <si>
    <t>NIA-24</t>
  </si>
  <si>
    <t>NIA24</t>
  </si>
  <si>
    <t>N Deck 24" Interlocking Acoustical</t>
  </si>
  <si>
    <t>NP-24</t>
  </si>
  <si>
    <t>NCS24</t>
  </si>
  <si>
    <t>N 24" Cellular</t>
  </si>
  <si>
    <t>NPA-24</t>
  </si>
  <si>
    <t>NCAS24</t>
  </si>
  <si>
    <t>N 24" Cellular Acoustical</t>
  </si>
  <si>
    <t>N-32</t>
  </si>
  <si>
    <t>NL-32</t>
  </si>
  <si>
    <t>NS32</t>
  </si>
  <si>
    <t>N Deck 32"</t>
  </si>
  <si>
    <t>NI-32</t>
  </si>
  <si>
    <t>NI32</t>
  </si>
  <si>
    <t>N Deck 32" Interlocking</t>
  </si>
  <si>
    <t>NLA-32</t>
  </si>
  <si>
    <t>NSA32</t>
  </si>
  <si>
    <t>N Deck 32" Acoustical</t>
  </si>
  <si>
    <t>NIA-32</t>
  </si>
  <si>
    <t>N Deck 32" Interlocking Acoustical</t>
  </si>
  <si>
    <t>NP-32</t>
  </si>
  <si>
    <t>NCS32</t>
  </si>
  <si>
    <t>N 32" Cellular</t>
  </si>
  <si>
    <t>NPA-32</t>
  </si>
  <si>
    <t>NCAS32</t>
  </si>
  <si>
    <t>N 32" Cellular Acoustical</t>
  </si>
  <si>
    <t>FLOOR DECK</t>
  </si>
  <si>
    <t>COMPOSITE</t>
  </si>
  <si>
    <t>VL</t>
  </si>
  <si>
    <t>B-LOK</t>
  </si>
  <si>
    <t>Composite Deck</t>
  </si>
  <si>
    <t>INVERTED</t>
  </si>
  <si>
    <t>VLR</t>
  </si>
  <si>
    <t>B-LOK INV</t>
  </si>
  <si>
    <t>Composite Deck Inverted</t>
  </si>
  <si>
    <t>VLI</t>
  </si>
  <si>
    <t>LOK-FLOOR</t>
  </si>
  <si>
    <t>Composite Deck Interlocking</t>
  </si>
  <si>
    <t>COMPOSITE CELLULAR</t>
  </si>
  <si>
    <t>VLP</t>
  </si>
  <si>
    <t>LFCS1.5</t>
  </si>
  <si>
    <t>Composite Cellular</t>
  </si>
  <si>
    <t>LFCS2</t>
  </si>
  <si>
    <t>LFCS3</t>
  </si>
  <si>
    <t>COMPOSITE CELLULAR ACOUSTICAL</t>
  </si>
  <si>
    <t>VLPA</t>
  </si>
  <si>
    <t>LFCAS2</t>
  </si>
  <si>
    <t>Composite Cellular Acoustical</t>
  </si>
  <si>
    <t>LFCAS3</t>
  </si>
  <si>
    <t>DOVETAIL</t>
  </si>
  <si>
    <t>D</t>
  </si>
  <si>
    <t>RS2.0</t>
  </si>
  <si>
    <t>RS3.5</t>
  </si>
  <si>
    <t>DA</t>
  </si>
  <si>
    <t>Dovetail Acoustical</t>
  </si>
  <si>
    <t xml:space="preserve">D FormLok </t>
  </si>
  <si>
    <t>RS2.0C</t>
  </si>
  <si>
    <t>Composite Dovetail</t>
  </si>
  <si>
    <t>RS3.5C</t>
  </si>
  <si>
    <t xml:space="preserve">DA FormLok </t>
  </si>
  <si>
    <t>RS2.0CA</t>
  </si>
  <si>
    <t>Composite Dovetail Acoustical</t>
  </si>
  <si>
    <t>RS3.5CA</t>
  </si>
  <si>
    <t>TORIS</t>
  </si>
  <si>
    <t>ENVISTA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</si>
</sst>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Work Sans Regular Roman"/>
    </font>
    <font>
      <sz val="20"/>
      <color theme="1"/>
      <name val="Work Sans Regular Roman"/>
    </font>
    <font>
      <sz val="16"/>
      <color theme="1"/>
      <name val="Work Sans Regular Roman"/>
    </font>
    <font>
      <sz val="20"/>
      <color theme="0"/>
      <name val="Work Sans Regular Roman"/>
    </font>
    <font>
      <sz val="14"/>
      <color theme="1"/>
      <name val="Work Sans Regular Roman"/>
    </font>
    <font>
      <sz val="36"/>
      <color theme="0"/>
      <name val="Work Sans Regular Roman"/>
    </font>
    <font>
      <sz val="16"/>
      <color rgb="FF07041B"/>
      <name val="Work Sans Regular Roman"/>
    </font>
    <font>
      <sz val="20"/>
      <color rgb="FF07041B"/>
      <name val="Work Sans Regular Roman"/>
    </font>
    <font>
      <sz val="16"/>
      <color rgb="FF000000"/>
      <name val="Work Sans Regular Roman"/>
    </font>
    <font>
      <sz val="16"/>
      <color theme="0"/>
      <name val="Work Sans Regular Roman"/>
    </font>
    <font>
      <sz val="12"/>
      <color theme="1"/>
      <name val="Work Sans Regular Roman"/>
    </font>
  </fonts>
  <fills count="2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textRotation="90"/>
    </xf>
    <xf numFmtId="0" fontId="2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1" fontId="3" fillId="9" borderId="0" xfId="0" applyNumberFormat="1" applyFont="1" applyFill="1" applyAlignment="1">
      <alignment horizontal="center" vertical="center"/>
    </xf>
    <xf numFmtId="1" fontId="7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textRotation="90"/>
    </xf>
    <xf numFmtId="0" fontId="2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/>
    </xf>
    <xf numFmtId="1" fontId="3" fillId="17" borderId="0" xfId="0" applyNumberFormat="1" applyFont="1" applyFill="1" applyAlignment="1">
      <alignment horizontal="center" vertical="center"/>
    </xf>
    <xf numFmtId="0" fontId="3" fillId="17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6" fillId="20" borderId="0" xfId="0" applyFont="1" applyFill="1" applyAlignment="1">
      <alignment horizontal="center" vertical="center" textRotation="90"/>
    </xf>
    <xf numFmtId="0" fontId="4" fillId="21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/>
    </xf>
    <xf numFmtId="1" fontId="3" fillId="23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left" vertical="center" wrapText="1"/>
    </xf>
    <xf numFmtId="0" fontId="3" fillId="24" borderId="0" xfId="0" applyFont="1" applyFill="1" applyAlignment="1">
      <alignment horizontal="center" vertical="center" wrapText="1"/>
    </xf>
    <xf numFmtId="0" fontId="4" fillId="25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nathancalvert/Downloads/KINGFISHER%20FIRE%20STATION%2020251223.xlsm" TargetMode="External"/><Relationship Id="rId1" Type="http://schemas.openxmlformats.org/officeDocument/2006/relationships/externalLinkPath" Target="KINGFISHER%20FIRE%20STATION%20202512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k Schedule"/>
      <sheetName val="Canam Deck Catalog"/>
      <sheetName val="Deck Selections"/>
      <sheetName val="Canam Pricing"/>
      <sheetName val="Freight Codes"/>
      <sheetName val="HelperSheet"/>
      <sheetName val="Input"/>
      <sheetName val="Submit Table"/>
      <sheetName val="Submit Helper"/>
      <sheetName val="Pricing"/>
      <sheetName val="Email Helper"/>
      <sheetName val="Proposal"/>
      <sheetName val="Specs"/>
      <sheetName val="Exclusions &amp; Qualifications"/>
      <sheetName val="General Terms &amp; Conditions"/>
      <sheetName val="Signature"/>
      <sheetName val="Customer 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017C-E9CF-684F-B912-08D2FE6ED327}">
  <sheetPr codeName="Sheet16">
    <pageSetUpPr fitToPage="1"/>
  </sheetPr>
  <dimension ref="A1:R258"/>
  <sheetViews>
    <sheetView showGridLines="0" tabSelected="1" topLeftCell="A4" workbookViewId="0">
      <selection activeCell="P19" sqref="P19"/>
    </sheetView>
  </sheetViews>
  <sheetFormatPr baseColWidth="10" defaultColWidth="10.83203125" defaultRowHeight="26"/>
  <cols>
    <col min="1" max="1" width="34.1640625" style="1" customWidth="1"/>
    <col min="2" max="2" width="28.5" style="2" customWidth="1"/>
    <col min="3" max="3" width="28.5" style="1" customWidth="1"/>
    <col min="4" max="7" width="20.83203125" style="3" customWidth="1"/>
    <col min="8" max="8" width="20.83203125" style="60" customWidth="1"/>
    <col min="9" max="10" width="20.83203125" style="3" customWidth="1"/>
    <col min="11" max="11" width="20.83203125" style="60" customWidth="1"/>
    <col min="12" max="12" width="26" style="3" bestFit="1" customWidth="1"/>
    <col min="13" max="13" width="48.5" style="5" bestFit="1" customWidth="1"/>
    <col min="14" max="14" width="31" style="1" customWidth="1"/>
    <col min="15" max="15" width="31.5" style="1" bestFit="1" customWidth="1"/>
    <col min="16" max="16384" width="10.83203125" style="1"/>
  </cols>
  <sheetData>
    <row r="1" spans="1:18">
      <c r="E1" s="3" t="s">
        <v>0</v>
      </c>
      <c r="F1" s="3" t="s">
        <v>1</v>
      </c>
      <c r="H1" s="4" t="s">
        <v>2</v>
      </c>
      <c r="I1" s="4"/>
      <c r="J1" s="4"/>
      <c r="K1" s="4"/>
    </row>
    <row r="2" spans="1:18" s="11" customFormat="1">
      <c r="A2" s="6"/>
      <c r="B2" s="6"/>
      <c r="C2" s="6"/>
      <c r="D2" s="6" t="s">
        <v>3</v>
      </c>
      <c r="E2" s="6" t="s">
        <v>4</v>
      </c>
      <c r="F2" s="6" t="s">
        <v>4</v>
      </c>
      <c r="G2" s="6" t="s">
        <v>5</v>
      </c>
      <c r="H2" s="7" t="s">
        <v>6</v>
      </c>
      <c r="I2" s="6" t="s">
        <v>7</v>
      </c>
      <c r="J2" s="6" t="s">
        <v>8</v>
      </c>
      <c r="K2" s="7" t="s">
        <v>9</v>
      </c>
      <c r="L2" s="6" t="s">
        <v>10</v>
      </c>
      <c r="M2" s="8" t="s">
        <v>11</v>
      </c>
      <c r="N2" s="9" t="s">
        <v>12</v>
      </c>
      <c r="O2" s="10" t="s">
        <v>13</v>
      </c>
    </row>
    <row r="3" spans="1:18" ht="234" customHeight="1">
      <c r="A3" s="12" t="s">
        <v>14</v>
      </c>
      <c r="B3" s="13" t="s">
        <v>15</v>
      </c>
      <c r="C3" s="13"/>
      <c r="D3" s="14">
        <v>0.6</v>
      </c>
      <c r="E3" s="14" t="s">
        <v>16</v>
      </c>
      <c r="F3" s="14" t="s">
        <v>17</v>
      </c>
      <c r="G3" s="14">
        <v>28</v>
      </c>
      <c r="H3" s="15">
        <v>81</v>
      </c>
      <c r="I3" s="15">
        <v>81</v>
      </c>
      <c r="J3" s="15">
        <f>IF(OR(ISNUMBER(SEARCH("cellular", M3)), ISNUMBER(SEARCH("dovetail", M3))), 0, IF(OR(ISNUMBER(SEARCH("acoustical", M3)), ISNUMBER(SEARCH("vented", M3))), N3 + 2, N3))</f>
        <v>81</v>
      </c>
      <c r="K3" s="15">
        <f>IF(J3=0, 0, J3+3)</f>
        <v>84</v>
      </c>
      <c r="L3" s="14" t="str">
        <f t="shared" ref="L3:L66" si="0">D3&amp;E3&amp;G3</f>
        <v>0.6C28</v>
      </c>
      <c r="M3" s="16" t="s">
        <v>18</v>
      </c>
      <c r="N3" s="1">
        <f>ROUNDUP(O3 * (1 + LOOKUP(G3, {16,18,19,20,22,24,26,28}, {0.0143,0.0229,0.0307,0.0363,0.0338,0.03,0.0193,0.0026})), 0)</f>
        <v>81</v>
      </c>
      <c r="O3" s="1">
        <v>80</v>
      </c>
    </row>
    <row r="4" spans="1:18" ht="25.5" customHeight="1">
      <c r="A4" s="12"/>
      <c r="B4" s="13"/>
      <c r="C4" s="13"/>
      <c r="D4" s="14">
        <v>0.6</v>
      </c>
      <c r="E4" s="14" t="s">
        <v>16</v>
      </c>
      <c r="F4" s="14" t="s">
        <v>17</v>
      </c>
      <c r="G4" s="14">
        <v>26</v>
      </c>
      <c r="H4" s="15">
        <v>92</v>
      </c>
      <c r="I4" s="15">
        <v>92</v>
      </c>
      <c r="J4" s="15">
        <f t="shared" ref="J4:J15" si="1">IF(OR(ISNUMBER(SEARCH("cellular", M4)), ISNUMBER(SEARCH("dovetail", M4))), 0, IF(OR(ISNUMBER(SEARCH("acoustical", M4)), ISNUMBER(SEARCH("vented", M4))), N4 + 2, N4))</f>
        <v>92</v>
      </c>
      <c r="K4" s="15">
        <f>IF(J4=0, 0, J4+3)</f>
        <v>95</v>
      </c>
      <c r="L4" s="14" t="str">
        <f t="shared" si="0"/>
        <v>0.6C26</v>
      </c>
      <c r="M4" s="16" t="s">
        <v>18</v>
      </c>
      <c r="N4" s="1">
        <f>ROUNDUP(O4 * (1 + LOOKUP(G4, {16,18,19,20,22,24,26,28}, {0.0143,0.0229,0.0307,0.0363,0.0338,0.03,0.0193,0.0026})), 0)</f>
        <v>92</v>
      </c>
      <c r="O4" s="1">
        <v>90</v>
      </c>
      <c r="Q4" s="1" t="s">
        <v>19</v>
      </c>
      <c r="R4" s="1">
        <v>2</v>
      </c>
    </row>
    <row r="5" spans="1:18" ht="25.5" customHeight="1">
      <c r="A5" s="12"/>
      <c r="B5" s="13"/>
      <c r="C5" s="13"/>
      <c r="D5" s="14">
        <v>0.6</v>
      </c>
      <c r="E5" s="14" t="s">
        <v>16</v>
      </c>
      <c r="F5" s="14" t="s">
        <v>17</v>
      </c>
      <c r="G5" s="14">
        <v>24</v>
      </c>
      <c r="H5" s="15">
        <v>124</v>
      </c>
      <c r="I5" s="15">
        <v>124</v>
      </c>
      <c r="J5" s="15">
        <f t="shared" si="1"/>
        <v>124</v>
      </c>
      <c r="K5" s="15">
        <f t="shared" ref="K5:K45" si="2">IF(J5=0, 0, J5+3)</f>
        <v>127</v>
      </c>
      <c r="L5" s="14" t="str">
        <f t="shared" si="0"/>
        <v>0.6C24</v>
      </c>
      <c r="M5" s="16" t="s">
        <v>18</v>
      </c>
      <c r="N5" s="1">
        <f>ROUNDUP(O5 * (1 + LOOKUP(G5, {16,18,19,20,22,24,26,28}, {0.0143,0.0229,0.0307,0.0363,0.0338,0.03,0.0193,0.0026})), 0)</f>
        <v>124</v>
      </c>
      <c r="O5" s="1">
        <v>120</v>
      </c>
      <c r="Q5" s="1" t="s">
        <v>20</v>
      </c>
      <c r="R5" s="1">
        <v>2</v>
      </c>
    </row>
    <row r="6" spans="1:18" ht="25.5" customHeight="1">
      <c r="A6" s="12"/>
      <c r="B6" s="13"/>
      <c r="C6" s="13"/>
      <c r="D6" s="14">
        <v>0.6</v>
      </c>
      <c r="E6" s="14" t="s">
        <v>16</v>
      </c>
      <c r="F6" s="14" t="s">
        <v>17</v>
      </c>
      <c r="G6" s="14">
        <v>22</v>
      </c>
      <c r="H6" s="15">
        <v>156</v>
      </c>
      <c r="I6" s="15">
        <v>156</v>
      </c>
      <c r="J6" s="15">
        <f t="shared" si="1"/>
        <v>156</v>
      </c>
      <c r="K6" s="15">
        <f t="shared" si="2"/>
        <v>159</v>
      </c>
      <c r="L6" s="14" t="str">
        <f t="shared" si="0"/>
        <v>0.6C22</v>
      </c>
      <c r="M6" s="16" t="s">
        <v>18</v>
      </c>
      <c r="N6" s="1">
        <f>ROUNDUP(O6 * (1 + LOOKUP(G6, {16,18,19,20,22,24,26,28}, {0.0143,0.0229,0.0307,0.0363,0.0338,0.03,0.0193,0.0026})), 0)</f>
        <v>156</v>
      </c>
      <c r="O6" s="1">
        <v>150</v>
      </c>
      <c r="Q6" s="1" t="s">
        <v>9</v>
      </c>
      <c r="R6" s="1">
        <v>3</v>
      </c>
    </row>
    <row r="7" spans="1:18" ht="25.5" customHeight="1">
      <c r="A7" s="12"/>
      <c r="B7" s="13"/>
      <c r="C7" s="13"/>
      <c r="D7" s="14">
        <v>0.6</v>
      </c>
      <c r="E7" s="14" t="s">
        <v>16</v>
      </c>
      <c r="F7" s="14" t="s">
        <v>17</v>
      </c>
      <c r="G7" s="14">
        <v>20</v>
      </c>
      <c r="H7" s="15">
        <v>189</v>
      </c>
      <c r="I7" s="15">
        <v>189</v>
      </c>
      <c r="J7" s="15">
        <f t="shared" si="1"/>
        <v>189</v>
      </c>
      <c r="K7" s="15">
        <f t="shared" si="2"/>
        <v>192</v>
      </c>
      <c r="L7" s="14" t="str">
        <f t="shared" si="0"/>
        <v>0.6C20</v>
      </c>
      <c r="M7" s="16" t="s">
        <v>18</v>
      </c>
      <c r="N7" s="1">
        <f>ROUNDUP(O7 * (1 + LOOKUP(G7, {16,18,19,20,22,24,26,28}, {0.0143,0.0229,0.0307,0.0363,0.0338,0.03,0.0193,0.0026})), 0)</f>
        <v>189</v>
      </c>
      <c r="O7" s="1">
        <v>182</v>
      </c>
      <c r="Q7" s="1" t="s">
        <v>21</v>
      </c>
    </row>
    <row r="8" spans="1:18" ht="25.5" customHeight="1">
      <c r="A8" s="12"/>
      <c r="B8" s="13"/>
      <c r="C8" s="13"/>
      <c r="D8" s="17">
        <v>1</v>
      </c>
      <c r="E8" s="17" t="s">
        <v>16</v>
      </c>
      <c r="F8" s="17" t="s">
        <v>22</v>
      </c>
      <c r="G8" s="17">
        <v>26</v>
      </c>
      <c r="H8" s="18">
        <v>102</v>
      </c>
      <c r="I8" s="15">
        <v>102</v>
      </c>
      <c r="J8" s="15">
        <f t="shared" si="1"/>
        <v>102</v>
      </c>
      <c r="K8" s="15">
        <f t="shared" si="2"/>
        <v>105</v>
      </c>
      <c r="L8" s="17" t="str">
        <f t="shared" si="0"/>
        <v>1C26</v>
      </c>
      <c r="M8" s="16" t="s">
        <v>18</v>
      </c>
      <c r="N8" s="1">
        <f>ROUNDUP(O8 * (1 + LOOKUP(G8, {16,18,19,20,22,24,26,28}, {0.0143,0.0229,0.0307,0.0363,0.0338,0.03,0.0193,0.0026})), 0)</f>
        <v>102</v>
      </c>
      <c r="O8" s="1">
        <v>100</v>
      </c>
      <c r="Q8" s="1" t="s">
        <v>23</v>
      </c>
    </row>
    <row r="9" spans="1:18" ht="25.5" customHeight="1">
      <c r="A9" s="12"/>
      <c r="B9" s="13"/>
      <c r="C9" s="13"/>
      <c r="D9" s="17">
        <v>1</v>
      </c>
      <c r="E9" s="17" t="s">
        <v>16</v>
      </c>
      <c r="F9" s="17" t="s">
        <v>22</v>
      </c>
      <c r="G9" s="17">
        <v>24</v>
      </c>
      <c r="H9" s="18">
        <v>134</v>
      </c>
      <c r="I9" s="15">
        <v>134</v>
      </c>
      <c r="J9" s="15">
        <f t="shared" si="1"/>
        <v>134</v>
      </c>
      <c r="K9" s="15">
        <f t="shared" si="2"/>
        <v>137</v>
      </c>
      <c r="L9" s="17" t="str">
        <f t="shared" si="0"/>
        <v>1C24</v>
      </c>
      <c r="M9" s="16" t="s">
        <v>18</v>
      </c>
      <c r="N9" s="1">
        <f>ROUNDUP(O9 * (1 + LOOKUP(G9, {16,18,19,20,22,24,26,28}, {0.0143,0.0229,0.0307,0.0363,0.0338,0.03,0.0193,0.0026})), 0)</f>
        <v>134</v>
      </c>
      <c r="O9" s="1">
        <v>130</v>
      </c>
    </row>
    <row r="10" spans="1:18" ht="25.5" customHeight="1">
      <c r="A10" s="12"/>
      <c r="B10" s="13"/>
      <c r="C10" s="13"/>
      <c r="D10" s="17">
        <v>1</v>
      </c>
      <c r="E10" s="17" t="s">
        <v>16</v>
      </c>
      <c r="F10" s="17" t="s">
        <v>22</v>
      </c>
      <c r="G10" s="17">
        <v>22</v>
      </c>
      <c r="H10" s="18">
        <v>159</v>
      </c>
      <c r="I10" s="15">
        <v>159</v>
      </c>
      <c r="J10" s="15">
        <f t="shared" si="1"/>
        <v>159</v>
      </c>
      <c r="K10" s="15">
        <f t="shared" si="2"/>
        <v>162</v>
      </c>
      <c r="L10" s="17" t="str">
        <f t="shared" si="0"/>
        <v>1C22</v>
      </c>
      <c r="M10" s="16" t="s">
        <v>18</v>
      </c>
      <c r="N10" s="1">
        <v>159</v>
      </c>
      <c r="O10" s="1">
        <v>159</v>
      </c>
    </row>
    <row r="11" spans="1:18" ht="25.5" customHeight="1">
      <c r="A11" s="12"/>
      <c r="B11" s="13"/>
      <c r="C11" s="13"/>
      <c r="D11" s="17">
        <v>1</v>
      </c>
      <c r="E11" s="17" t="s">
        <v>16</v>
      </c>
      <c r="F11" s="17" t="s">
        <v>22</v>
      </c>
      <c r="G11" s="17">
        <v>20</v>
      </c>
      <c r="H11" s="18">
        <v>199</v>
      </c>
      <c r="I11" s="15">
        <v>199</v>
      </c>
      <c r="J11" s="15">
        <f t="shared" si="1"/>
        <v>199</v>
      </c>
      <c r="K11" s="15">
        <f t="shared" si="2"/>
        <v>202</v>
      </c>
      <c r="L11" s="17" t="str">
        <f t="shared" si="0"/>
        <v>1C20</v>
      </c>
      <c r="M11" s="16" t="s">
        <v>18</v>
      </c>
      <c r="N11" s="1">
        <f>ROUNDUP(O11 * (1 + LOOKUP(G11, {16,18,19,20,22,24,26,28}, {0.0143,0.0229,0.0307,0.0363,0.0338,0.03,0.0193,0.0026})), 0)</f>
        <v>199</v>
      </c>
      <c r="O11" s="1">
        <v>192</v>
      </c>
    </row>
    <row r="12" spans="1:18" ht="25.5" customHeight="1">
      <c r="A12" s="12"/>
      <c r="B12" s="13"/>
      <c r="C12" s="13"/>
      <c r="D12" s="17">
        <v>1.3</v>
      </c>
      <c r="E12" s="17" t="s">
        <v>16</v>
      </c>
      <c r="F12" s="17" t="s">
        <v>24</v>
      </c>
      <c r="G12" s="17">
        <v>26</v>
      </c>
      <c r="H12" s="18">
        <v>102</v>
      </c>
      <c r="I12" s="15">
        <v>102</v>
      </c>
      <c r="J12" s="15">
        <f t="shared" si="1"/>
        <v>102</v>
      </c>
      <c r="K12" s="15">
        <f t="shared" si="2"/>
        <v>105</v>
      </c>
      <c r="L12" s="17" t="str">
        <f t="shared" si="0"/>
        <v>1.3C26</v>
      </c>
      <c r="M12" s="16" t="s">
        <v>18</v>
      </c>
      <c r="N12" s="1">
        <f>ROUNDUP(O12 * (1 + LOOKUP(G12, {16,18,19,20,22,24,26,28}, {0.0143,0.0229,0.0307,0.0363,0.0338,0.03,0.0193,0.0026})), 0)</f>
        <v>102</v>
      </c>
      <c r="O12" s="1">
        <v>100</v>
      </c>
    </row>
    <row r="13" spans="1:18" ht="25.5" customHeight="1">
      <c r="A13" s="12"/>
      <c r="B13" s="13"/>
      <c r="C13" s="13"/>
      <c r="D13" s="17">
        <v>1.3</v>
      </c>
      <c r="E13" s="17" t="s">
        <v>16</v>
      </c>
      <c r="F13" s="17" t="s">
        <v>24</v>
      </c>
      <c r="G13" s="17">
        <v>24</v>
      </c>
      <c r="H13" s="18">
        <v>134</v>
      </c>
      <c r="I13" s="15">
        <v>134</v>
      </c>
      <c r="J13" s="15">
        <f t="shared" si="1"/>
        <v>134</v>
      </c>
      <c r="K13" s="15">
        <f t="shared" si="2"/>
        <v>137</v>
      </c>
      <c r="L13" s="17" t="str">
        <f t="shared" si="0"/>
        <v>1.3C24</v>
      </c>
      <c r="M13" s="16" t="s">
        <v>18</v>
      </c>
      <c r="N13" s="1">
        <f>ROUNDUP(O13 * (1 + LOOKUP(G13, {16,18,19,20,22,24,26,28}, {0.0143,0.0229,0.0307,0.0363,0.0338,0.03,0.0193,0.0026})), 0)</f>
        <v>134</v>
      </c>
      <c r="O13" s="1">
        <v>130</v>
      </c>
    </row>
    <row r="14" spans="1:18" ht="25.5" customHeight="1">
      <c r="A14" s="12"/>
      <c r="B14" s="13"/>
      <c r="C14" s="13"/>
      <c r="D14" s="17">
        <v>1.3</v>
      </c>
      <c r="E14" s="17" t="s">
        <v>16</v>
      </c>
      <c r="F14" s="17" t="s">
        <v>24</v>
      </c>
      <c r="G14" s="17">
        <v>22</v>
      </c>
      <c r="H14" s="18">
        <v>166</v>
      </c>
      <c r="I14" s="15">
        <v>166</v>
      </c>
      <c r="J14" s="15">
        <f t="shared" si="1"/>
        <v>166</v>
      </c>
      <c r="K14" s="15">
        <f t="shared" si="2"/>
        <v>169</v>
      </c>
      <c r="L14" s="17" t="str">
        <f t="shared" si="0"/>
        <v>1.3C22</v>
      </c>
      <c r="M14" s="16" t="s">
        <v>18</v>
      </c>
      <c r="N14" s="1">
        <f>ROUNDUP(O14 * (1 + LOOKUP(G14, {16,18,19,20,22,24,26,28}, {0.0143,0.0229,0.0307,0.0363,0.0338,0.03,0.0193,0.0026})), 0)</f>
        <v>166</v>
      </c>
      <c r="O14" s="1">
        <v>160</v>
      </c>
    </row>
    <row r="15" spans="1:18" ht="25.5" customHeight="1">
      <c r="A15" s="12"/>
      <c r="B15" s="13"/>
      <c r="C15" s="13"/>
      <c r="D15" s="17">
        <v>1.3</v>
      </c>
      <c r="E15" s="17" t="s">
        <v>16</v>
      </c>
      <c r="F15" s="17" t="s">
        <v>24</v>
      </c>
      <c r="G15" s="17">
        <v>20</v>
      </c>
      <c r="H15" s="18">
        <v>208</v>
      </c>
      <c r="I15" s="15">
        <v>208</v>
      </c>
      <c r="J15" s="15">
        <f t="shared" si="1"/>
        <v>208</v>
      </c>
      <c r="K15" s="15">
        <f t="shared" si="2"/>
        <v>211</v>
      </c>
      <c r="L15" s="17" t="str">
        <f t="shared" si="0"/>
        <v>1.3C20</v>
      </c>
      <c r="M15" s="16" t="s">
        <v>18</v>
      </c>
      <c r="N15" s="1">
        <f>ROUNDUP(O15 * (1 + LOOKUP(G15, {16,18,19,20,22,24,26,28}, {0.0143,0.0229,0.0307,0.0363,0.0338,0.03,0.0193,0.0026})), 0)</f>
        <v>208</v>
      </c>
      <c r="O15" s="1">
        <v>200</v>
      </c>
    </row>
    <row r="16" spans="1:18" ht="25.5" customHeight="1">
      <c r="A16" s="12"/>
      <c r="B16" s="13"/>
      <c r="C16" s="13"/>
      <c r="D16" s="17">
        <v>1.5</v>
      </c>
      <c r="E16" s="17" t="s">
        <v>16</v>
      </c>
      <c r="F16" s="17"/>
      <c r="G16" s="17">
        <v>22</v>
      </c>
      <c r="H16" s="18">
        <v>167</v>
      </c>
      <c r="I16" s="15">
        <v>167</v>
      </c>
      <c r="J16" s="15">
        <v>167</v>
      </c>
      <c r="K16" s="15">
        <v>170</v>
      </c>
      <c r="L16" s="17" t="str">
        <f t="shared" si="0"/>
        <v>1.5C22</v>
      </c>
      <c r="M16" s="16" t="s">
        <v>25</v>
      </c>
      <c r="N16" s="1">
        <f>ROUNDUP(O16 * (1 + LOOKUP(G20, {16,18,19,20,22,24,26,28}, {0.0143,0.0229,0.0307,0.0363,0.0338,0.03,0.0193,0.0026})), 0)</f>
        <v>145</v>
      </c>
      <c r="O16" s="1">
        <v>140</v>
      </c>
    </row>
    <row r="17" spans="1:15" ht="25.5" customHeight="1">
      <c r="A17" s="12"/>
      <c r="B17" s="13"/>
      <c r="C17" s="13"/>
      <c r="D17" s="17">
        <v>1.5</v>
      </c>
      <c r="E17" s="17" t="s">
        <v>16</v>
      </c>
      <c r="F17" s="17"/>
      <c r="G17" s="17">
        <v>20</v>
      </c>
      <c r="H17" s="18">
        <v>202</v>
      </c>
      <c r="I17" s="15">
        <v>202</v>
      </c>
      <c r="J17" s="15">
        <v>202</v>
      </c>
      <c r="K17" s="15">
        <v>205</v>
      </c>
      <c r="L17" s="17" t="str">
        <f t="shared" si="0"/>
        <v>1.5C20</v>
      </c>
      <c r="M17" s="16" t="s">
        <v>25</v>
      </c>
      <c r="N17" s="1">
        <f>ROUNDUP(O17 * (1 + LOOKUP(G21, {16,18,19,20,22,24,26,28}, {0.0143,0.0229,0.0307,0.0363,0.0338,0.03,0.0193,0.0026})), 0)</f>
        <v>187</v>
      </c>
      <c r="O17" s="1">
        <v>180</v>
      </c>
    </row>
    <row r="18" spans="1:15" ht="25.5" customHeight="1">
      <c r="A18" s="12"/>
      <c r="B18" s="13"/>
      <c r="C18" s="13"/>
      <c r="D18" s="17">
        <v>1.5</v>
      </c>
      <c r="E18" s="17" t="s">
        <v>16</v>
      </c>
      <c r="F18" s="17"/>
      <c r="G18" s="17">
        <v>18</v>
      </c>
      <c r="H18" s="18">
        <v>265</v>
      </c>
      <c r="I18" s="15">
        <v>265</v>
      </c>
      <c r="J18" s="15">
        <v>265</v>
      </c>
      <c r="K18" s="15">
        <v>268</v>
      </c>
      <c r="L18" s="17" t="str">
        <f t="shared" si="0"/>
        <v>1.5C18</v>
      </c>
      <c r="M18" s="16" t="s">
        <v>25</v>
      </c>
      <c r="N18" s="1">
        <f>ROUNDUP(O18 * (1 + LOOKUP(G22, {16,18,19,20,22,24,26,28}, {0.0143,0.0229,0.0307,0.0363,0.0338,0.03,0.0193,0.0026})), 0)</f>
        <v>218</v>
      </c>
      <c r="O18" s="1">
        <v>210</v>
      </c>
    </row>
    <row r="19" spans="1:15" ht="25.5" customHeight="1">
      <c r="A19" s="12"/>
      <c r="B19" s="13"/>
      <c r="C19" s="13"/>
      <c r="D19" s="17">
        <v>1.5</v>
      </c>
      <c r="E19" s="17" t="s">
        <v>16</v>
      </c>
      <c r="F19" s="17"/>
      <c r="G19" s="17">
        <v>16</v>
      </c>
      <c r="H19" s="18">
        <v>334</v>
      </c>
      <c r="I19" s="15">
        <v>334</v>
      </c>
      <c r="J19" s="15">
        <v>334</v>
      </c>
      <c r="K19" s="15">
        <v>337</v>
      </c>
      <c r="L19" s="17" t="str">
        <f t="shared" si="0"/>
        <v>1.5C16</v>
      </c>
      <c r="M19" s="16" t="s">
        <v>25</v>
      </c>
      <c r="N19" s="1">
        <f>ROUNDUP(O19 * (1 + LOOKUP(G23, {16,18,19,20,22,24,26,28}, {0.0143,0.0229,0.0307,0.0363,0.0338,0.03,0.0193,0.0026})), 0)</f>
        <v>185</v>
      </c>
      <c r="O19" s="1">
        <v>180</v>
      </c>
    </row>
    <row r="20" spans="1:15" ht="25.5" customHeight="1">
      <c r="A20" s="12"/>
      <c r="B20" s="13"/>
      <c r="C20" s="13"/>
      <c r="D20" s="17">
        <v>2</v>
      </c>
      <c r="E20" s="17" t="s">
        <v>16</v>
      </c>
      <c r="F20" s="17" t="s">
        <v>26</v>
      </c>
      <c r="G20" s="17">
        <v>24</v>
      </c>
      <c r="H20" s="18">
        <v>145</v>
      </c>
      <c r="I20" s="15">
        <v>145</v>
      </c>
      <c r="J20" s="15">
        <f t="shared" ref="J20:J83" si="3">IF(OR(ISNUMBER(SEARCH("cellular", M20)), ISNUMBER(SEARCH("dovetail", M20))), 0, IF(OR(ISNUMBER(SEARCH("acoustical", M20)), ISNUMBER(SEARCH("vented", M20))), N16 + 2, N16))</f>
        <v>145</v>
      </c>
      <c r="K20" s="15">
        <f t="shared" si="2"/>
        <v>148</v>
      </c>
      <c r="L20" s="17" t="str">
        <f t="shared" si="0"/>
        <v>2C24</v>
      </c>
      <c r="M20" s="16" t="s">
        <v>18</v>
      </c>
      <c r="N20" s="1">
        <f>ROUNDUP(O20 * (1 + LOOKUP(G24, {16,18,19,20,22,24,26,28}, {0.0143,0.0229,0.0307,0.0363,0.0338,0.03,0.0193,0.0026})), 0)</f>
        <v>81</v>
      </c>
      <c r="O20" s="1">
        <v>80</v>
      </c>
    </row>
    <row r="21" spans="1:15" ht="25.5" customHeight="1">
      <c r="A21" s="12"/>
      <c r="B21" s="13"/>
      <c r="C21" s="13"/>
      <c r="D21" s="17">
        <v>2</v>
      </c>
      <c r="E21" s="17" t="s">
        <v>16</v>
      </c>
      <c r="F21" s="17" t="s">
        <v>26</v>
      </c>
      <c r="G21" s="17">
        <v>22</v>
      </c>
      <c r="H21" s="18">
        <v>187</v>
      </c>
      <c r="I21" s="15">
        <v>187</v>
      </c>
      <c r="J21" s="15">
        <f t="shared" si="3"/>
        <v>187</v>
      </c>
      <c r="K21" s="15">
        <f t="shared" si="2"/>
        <v>190</v>
      </c>
      <c r="L21" s="17" t="str">
        <f t="shared" si="0"/>
        <v>2C22</v>
      </c>
      <c r="M21" s="16" t="s">
        <v>18</v>
      </c>
      <c r="N21" s="1">
        <f>ROUNDUP(O21 * (1 + LOOKUP(G25, {16,18,19,20,22,24,26,28}, {0.0143,0.0229,0.0307,0.0363,0.0338,0.03,0.0193,0.0026})), 0)</f>
        <v>92</v>
      </c>
      <c r="O21" s="1">
        <v>90</v>
      </c>
    </row>
    <row r="22" spans="1:15" ht="25.5" customHeight="1">
      <c r="A22" s="12"/>
      <c r="B22" s="13"/>
      <c r="C22" s="13"/>
      <c r="D22" s="17">
        <v>2</v>
      </c>
      <c r="E22" s="17" t="s">
        <v>16</v>
      </c>
      <c r="F22" s="17" t="s">
        <v>26</v>
      </c>
      <c r="G22" s="17">
        <v>20</v>
      </c>
      <c r="H22" s="18">
        <v>218</v>
      </c>
      <c r="I22" s="15">
        <v>218</v>
      </c>
      <c r="J22" s="15">
        <f t="shared" si="3"/>
        <v>218</v>
      </c>
      <c r="K22" s="15">
        <f t="shared" si="2"/>
        <v>221</v>
      </c>
      <c r="L22" s="17" t="str">
        <f t="shared" si="0"/>
        <v>2C20</v>
      </c>
      <c r="M22" s="16" t="s">
        <v>18</v>
      </c>
      <c r="N22" s="1">
        <f>ROUNDUP(O22 * (1 + LOOKUP(G26, {16,18,19,20,22,24,26,28}, {0.0143,0.0229,0.0307,0.0363,0.0338,0.03,0.0193,0.0026})), 0)</f>
        <v>124</v>
      </c>
      <c r="O22" s="1">
        <v>120</v>
      </c>
    </row>
    <row r="23" spans="1:15" ht="25.5" customHeight="1">
      <c r="A23" s="12"/>
      <c r="B23" s="13"/>
      <c r="C23" s="13"/>
      <c r="D23" s="17">
        <v>2</v>
      </c>
      <c r="E23" s="17" t="s">
        <v>16</v>
      </c>
      <c r="F23" s="17" t="s">
        <v>26</v>
      </c>
      <c r="G23" s="17">
        <v>18</v>
      </c>
      <c r="H23" s="18">
        <v>185</v>
      </c>
      <c r="I23" s="15">
        <v>185</v>
      </c>
      <c r="J23" s="15">
        <f t="shared" si="3"/>
        <v>185</v>
      </c>
      <c r="K23" s="15">
        <f t="shared" si="2"/>
        <v>188</v>
      </c>
      <c r="L23" s="17" t="str">
        <f t="shared" si="0"/>
        <v>2C18</v>
      </c>
      <c r="M23" s="16" t="s">
        <v>18</v>
      </c>
      <c r="N23" s="1">
        <f>ROUNDUP(O23 * (1 + LOOKUP(G27, {16,18,19,20,22,24,26,28}, {0.0143,0.0229,0.0307,0.0363,0.0338,0.03,0.0193,0.0026})), 0)</f>
        <v>156</v>
      </c>
      <c r="O23" s="1">
        <v>150</v>
      </c>
    </row>
    <row r="24" spans="1:15" ht="25.5" customHeight="1">
      <c r="A24" s="12"/>
      <c r="B24" s="19" t="s">
        <v>27</v>
      </c>
      <c r="C24" s="19"/>
      <c r="D24" s="14">
        <v>0.6</v>
      </c>
      <c r="E24" s="14" t="s">
        <v>28</v>
      </c>
      <c r="F24" s="14" t="s">
        <v>29</v>
      </c>
      <c r="G24" s="14">
        <v>28</v>
      </c>
      <c r="H24" s="15">
        <v>83</v>
      </c>
      <c r="I24" s="15">
        <v>83</v>
      </c>
      <c r="J24" s="15">
        <f t="shared" si="3"/>
        <v>83</v>
      </c>
      <c r="K24" s="15">
        <f t="shared" si="2"/>
        <v>86</v>
      </c>
      <c r="L24" s="14" t="str">
        <f t="shared" si="0"/>
        <v>0.6CSV28</v>
      </c>
      <c r="M24" s="16" t="s">
        <v>30</v>
      </c>
      <c r="N24" s="1">
        <f>ROUNDUP(O24 * (1 + LOOKUP(G28, {16,18,19,20,22,24,26,28}, {0.0143,0.0229,0.0307,0.0363,0.0338,0.03,0.0193,0.0026})), 0)</f>
        <v>189</v>
      </c>
      <c r="O24" s="1">
        <v>182</v>
      </c>
    </row>
    <row r="25" spans="1:15" ht="25.5" customHeight="1">
      <c r="A25" s="12"/>
      <c r="B25" s="19"/>
      <c r="C25" s="19"/>
      <c r="D25" s="14">
        <v>0.6</v>
      </c>
      <c r="E25" s="14" t="s">
        <v>28</v>
      </c>
      <c r="F25" s="14" t="s">
        <v>29</v>
      </c>
      <c r="G25" s="14">
        <v>26</v>
      </c>
      <c r="H25" s="15">
        <v>94</v>
      </c>
      <c r="I25" s="15">
        <v>94</v>
      </c>
      <c r="J25" s="15">
        <f t="shared" si="3"/>
        <v>94</v>
      </c>
      <c r="K25" s="15">
        <f t="shared" si="2"/>
        <v>97</v>
      </c>
      <c r="L25" s="14" t="str">
        <f t="shared" si="0"/>
        <v>0.6CSV26</v>
      </c>
      <c r="M25" s="16" t="s">
        <v>30</v>
      </c>
      <c r="N25" s="1">
        <f>ROUNDUP(O25 * (1 + LOOKUP(G29, {16,18,19,20,22,24,26,28}, {0.0143,0.0229,0.0307,0.0363,0.0338,0.03,0.0193,0.0026})), 0)</f>
        <v>102</v>
      </c>
      <c r="O25" s="1">
        <v>100</v>
      </c>
    </row>
    <row r="26" spans="1:15" ht="25.5" customHeight="1">
      <c r="A26" s="12"/>
      <c r="B26" s="19"/>
      <c r="C26" s="19"/>
      <c r="D26" s="14">
        <v>0.6</v>
      </c>
      <c r="E26" s="14" t="s">
        <v>28</v>
      </c>
      <c r="F26" s="14" t="s">
        <v>29</v>
      </c>
      <c r="G26" s="14">
        <v>24</v>
      </c>
      <c r="H26" s="15">
        <v>126</v>
      </c>
      <c r="I26" s="15">
        <v>126</v>
      </c>
      <c r="J26" s="15">
        <f t="shared" si="3"/>
        <v>126</v>
      </c>
      <c r="K26" s="15">
        <f t="shared" si="2"/>
        <v>129</v>
      </c>
      <c r="L26" s="14" t="str">
        <f t="shared" si="0"/>
        <v>0.6CSV24</v>
      </c>
      <c r="M26" s="16" t="s">
        <v>30</v>
      </c>
      <c r="N26" s="1">
        <f>ROUNDUP(O26 * (1 + LOOKUP(G30, {16,18,19,20,22,24,26,28}, {0.0143,0.0229,0.0307,0.0363,0.0338,0.03,0.0193,0.0026})), 0)</f>
        <v>134</v>
      </c>
      <c r="O26" s="1">
        <v>130</v>
      </c>
    </row>
    <row r="27" spans="1:15" ht="25.5" customHeight="1">
      <c r="A27" s="12"/>
      <c r="B27" s="19"/>
      <c r="C27" s="19"/>
      <c r="D27" s="14">
        <v>0.6</v>
      </c>
      <c r="E27" s="14" t="s">
        <v>28</v>
      </c>
      <c r="F27" s="14" t="s">
        <v>29</v>
      </c>
      <c r="G27" s="14">
        <v>22</v>
      </c>
      <c r="H27" s="15">
        <v>158</v>
      </c>
      <c r="I27" s="15">
        <v>158</v>
      </c>
      <c r="J27" s="15">
        <f t="shared" si="3"/>
        <v>158</v>
      </c>
      <c r="K27" s="15">
        <f t="shared" si="2"/>
        <v>161</v>
      </c>
      <c r="L27" s="14" t="str">
        <f t="shared" si="0"/>
        <v>0.6CSV22</v>
      </c>
      <c r="M27" s="16" t="s">
        <v>30</v>
      </c>
      <c r="N27" s="1">
        <v>159</v>
      </c>
      <c r="O27" s="1">
        <v>160</v>
      </c>
    </row>
    <row r="28" spans="1:15" ht="25.5" customHeight="1">
      <c r="A28" s="12"/>
      <c r="B28" s="19"/>
      <c r="C28" s="19"/>
      <c r="D28" s="14">
        <v>0.6</v>
      </c>
      <c r="E28" s="14" t="s">
        <v>28</v>
      </c>
      <c r="F28" s="14" t="s">
        <v>29</v>
      </c>
      <c r="G28" s="14">
        <v>20</v>
      </c>
      <c r="H28" s="15">
        <v>191</v>
      </c>
      <c r="I28" s="15">
        <v>191</v>
      </c>
      <c r="J28" s="15">
        <f t="shared" si="3"/>
        <v>191</v>
      </c>
      <c r="K28" s="15">
        <f t="shared" si="2"/>
        <v>194</v>
      </c>
      <c r="L28" s="14" t="str">
        <f t="shared" si="0"/>
        <v>0.6CSV20</v>
      </c>
      <c r="M28" s="16" t="s">
        <v>30</v>
      </c>
      <c r="N28" s="1">
        <f>ROUNDUP(O28 * (1 + LOOKUP(G32, {16,18,19,20,22,24,26,28}, {0.0143,0.0229,0.0307,0.0363,0.0338,0.03,0.0193,0.0026})), 0)</f>
        <v>199</v>
      </c>
      <c r="O28" s="1">
        <v>192</v>
      </c>
    </row>
    <row r="29" spans="1:15" ht="25.5" customHeight="1">
      <c r="A29" s="12"/>
      <c r="B29" s="19"/>
      <c r="C29" s="19"/>
      <c r="D29" s="17">
        <v>1</v>
      </c>
      <c r="E29" s="17" t="s">
        <v>28</v>
      </c>
      <c r="F29" s="17" t="s">
        <v>31</v>
      </c>
      <c r="G29" s="17">
        <v>26</v>
      </c>
      <c r="H29" s="18">
        <v>104</v>
      </c>
      <c r="I29" s="15">
        <v>104</v>
      </c>
      <c r="J29" s="15">
        <f t="shared" si="3"/>
        <v>104</v>
      </c>
      <c r="K29" s="15">
        <f t="shared" si="2"/>
        <v>107</v>
      </c>
      <c r="L29" s="17" t="str">
        <f t="shared" si="0"/>
        <v>1CSV26</v>
      </c>
      <c r="M29" s="16" t="s">
        <v>30</v>
      </c>
      <c r="N29" s="1">
        <f>ROUNDUP(O29 * (1 + LOOKUP(G33, {16,18,19,20,22,24,26,28}, {0.0143,0.0229,0.0307,0.0363,0.0338,0.03,0.0193,0.0026})), 0)</f>
        <v>102</v>
      </c>
      <c r="O29" s="1">
        <v>100</v>
      </c>
    </row>
    <row r="30" spans="1:15" ht="25.5" customHeight="1">
      <c r="A30" s="12"/>
      <c r="B30" s="19"/>
      <c r="C30" s="19"/>
      <c r="D30" s="17">
        <v>1</v>
      </c>
      <c r="E30" s="17" t="s">
        <v>28</v>
      </c>
      <c r="F30" s="17" t="s">
        <v>31</v>
      </c>
      <c r="G30" s="17">
        <v>24</v>
      </c>
      <c r="H30" s="18">
        <v>136</v>
      </c>
      <c r="I30" s="15">
        <v>136</v>
      </c>
      <c r="J30" s="15">
        <f t="shared" si="3"/>
        <v>136</v>
      </c>
      <c r="K30" s="15">
        <f t="shared" si="2"/>
        <v>139</v>
      </c>
      <c r="L30" s="17" t="str">
        <f t="shared" si="0"/>
        <v>1CSV24</v>
      </c>
      <c r="M30" s="16" t="s">
        <v>30</v>
      </c>
      <c r="N30" s="1">
        <f>ROUNDUP(O30 * (1 + LOOKUP(G34, {16,18,19,20,22,24,26,28}, {0.0143,0.0229,0.0307,0.0363,0.0338,0.03,0.0193,0.0026})), 0)</f>
        <v>134</v>
      </c>
      <c r="O30" s="1">
        <v>130</v>
      </c>
    </row>
    <row r="31" spans="1:15" ht="25.5" customHeight="1">
      <c r="A31" s="12"/>
      <c r="B31" s="19"/>
      <c r="C31" s="19"/>
      <c r="D31" s="17">
        <v>1</v>
      </c>
      <c r="E31" s="17" t="s">
        <v>28</v>
      </c>
      <c r="F31" s="17" t="s">
        <v>31</v>
      </c>
      <c r="G31" s="17">
        <v>22</v>
      </c>
      <c r="H31" s="18">
        <v>161</v>
      </c>
      <c r="I31" s="15">
        <v>161</v>
      </c>
      <c r="J31" s="15">
        <f t="shared" si="3"/>
        <v>161</v>
      </c>
      <c r="K31" s="15">
        <f t="shared" si="2"/>
        <v>164</v>
      </c>
      <c r="L31" s="17" t="str">
        <f t="shared" si="0"/>
        <v>1CSV22</v>
      </c>
      <c r="M31" s="16" t="s">
        <v>30</v>
      </c>
      <c r="N31" s="1">
        <f>ROUNDUP(O31 * (1 + LOOKUP(G35, {16,18,19,20,22,24,26,28}, {0.0143,0.0229,0.0307,0.0363,0.0338,0.03,0.0193,0.0026})), 0)</f>
        <v>166</v>
      </c>
      <c r="O31" s="1">
        <v>160</v>
      </c>
    </row>
    <row r="32" spans="1:15" ht="25.5" customHeight="1">
      <c r="A32" s="12"/>
      <c r="B32" s="19"/>
      <c r="C32" s="19"/>
      <c r="D32" s="17">
        <v>1</v>
      </c>
      <c r="E32" s="17" t="s">
        <v>28</v>
      </c>
      <c r="F32" s="17" t="s">
        <v>31</v>
      </c>
      <c r="G32" s="17">
        <v>20</v>
      </c>
      <c r="H32" s="18">
        <v>201</v>
      </c>
      <c r="I32" s="15">
        <v>201</v>
      </c>
      <c r="J32" s="15">
        <f t="shared" si="3"/>
        <v>201</v>
      </c>
      <c r="K32" s="15">
        <f t="shared" si="2"/>
        <v>204</v>
      </c>
      <c r="L32" s="17" t="str">
        <f t="shared" si="0"/>
        <v>1CSV20</v>
      </c>
      <c r="M32" s="16" t="s">
        <v>30</v>
      </c>
      <c r="N32" s="1">
        <f>ROUNDUP(O32 * (1 + LOOKUP(G36, {16,18,19,20,22,24,26,28}, {0.0143,0.0229,0.0307,0.0363,0.0338,0.03,0.0193,0.0026})), 0)</f>
        <v>208</v>
      </c>
      <c r="O32" s="1">
        <v>200</v>
      </c>
    </row>
    <row r="33" spans="1:15" ht="25.5" customHeight="1">
      <c r="A33" s="12"/>
      <c r="B33" s="19"/>
      <c r="C33" s="19"/>
      <c r="D33" s="17">
        <v>1.3</v>
      </c>
      <c r="E33" s="17" t="s">
        <v>28</v>
      </c>
      <c r="F33" s="17" t="s">
        <v>32</v>
      </c>
      <c r="G33" s="17">
        <v>26</v>
      </c>
      <c r="H33" s="18">
        <v>104</v>
      </c>
      <c r="I33" s="15">
        <v>104</v>
      </c>
      <c r="J33" s="15">
        <f t="shared" si="3"/>
        <v>104</v>
      </c>
      <c r="K33" s="15">
        <f t="shared" si="2"/>
        <v>107</v>
      </c>
      <c r="L33" s="17" t="str">
        <f t="shared" si="0"/>
        <v>1.3CSV26</v>
      </c>
      <c r="M33" s="16" t="s">
        <v>30</v>
      </c>
      <c r="N33" s="1">
        <f>ROUNDUP(O33 * (1 + LOOKUP(G37, {16,18,19,20,22,24,26,28}, {0.0143,0.0229,0.0307,0.0363,0.0338,0.03,0.0193,0.0026})), 0)</f>
        <v>145</v>
      </c>
      <c r="O33" s="1">
        <v>140</v>
      </c>
    </row>
    <row r="34" spans="1:15" ht="25.5" customHeight="1">
      <c r="A34" s="12"/>
      <c r="B34" s="19"/>
      <c r="C34" s="19"/>
      <c r="D34" s="17">
        <v>1.3</v>
      </c>
      <c r="E34" s="17" t="s">
        <v>28</v>
      </c>
      <c r="F34" s="17" t="s">
        <v>32</v>
      </c>
      <c r="G34" s="17">
        <v>24</v>
      </c>
      <c r="H34" s="18">
        <v>136</v>
      </c>
      <c r="I34" s="15">
        <v>136</v>
      </c>
      <c r="J34" s="15">
        <f t="shared" si="3"/>
        <v>136</v>
      </c>
      <c r="K34" s="15">
        <f t="shared" si="2"/>
        <v>139</v>
      </c>
      <c r="L34" s="17" t="str">
        <f t="shared" si="0"/>
        <v>1.3CSV24</v>
      </c>
      <c r="M34" s="16" t="s">
        <v>30</v>
      </c>
      <c r="N34" s="1">
        <f>ROUNDUP(O34 * (1 + LOOKUP(G38, {16,18,19,20,22,24,26,28}, {0.0143,0.0229,0.0307,0.0363,0.0338,0.03,0.0193,0.0026})), 0)</f>
        <v>187</v>
      </c>
      <c r="O34" s="1">
        <v>180</v>
      </c>
    </row>
    <row r="35" spans="1:15" ht="25.5" customHeight="1">
      <c r="A35" s="12"/>
      <c r="B35" s="19"/>
      <c r="C35" s="19"/>
      <c r="D35" s="17">
        <v>1.3</v>
      </c>
      <c r="E35" s="17" t="s">
        <v>28</v>
      </c>
      <c r="F35" s="17" t="s">
        <v>32</v>
      </c>
      <c r="G35" s="17">
        <v>22</v>
      </c>
      <c r="H35" s="18">
        <v>168</v>
      </c>
      <c r="I35" s="15">
        <v>168</v>
      </c>
      <c r="J35" s="15">
        <f t="shared" si="3"/>
        <v>168</v>
      </c>
      <c r="K35" s="15">
        <f t="shared" si="2"/>
        <v>171</v>
      </c>
      <c r="L35" s="17" t="str">
        <f t="shared" si="0"/>
        <v>1.3CSV22</v>
      </c>
      <c r="M35" s="16" t="s">
        <v>30</v>
      </c>
      <c r="N35" s="1">
        <f>ROUNDUP(O35 * (1 + LOOKUP(G39, {16,18,19,20,22,24,26,28}, {0.0143,0.0229,0.0307,0.0363,0.0338,0.03,0.0193,0.0026})), 0)</f>
        <v>218</v>
      </c>
      <c r="O35" s="1">
        <v>210</v>
      </c>
    </row>
    <row r="36" spans="1:15" ht="25.5" customHeight="1">
      <c r="A36" s="12"/>
      <c r="B36" s="19"/>
      <c r="C36" s="19"/>
      <c r="D36" s="17">
        <v>1.3</v>
      </c>
      <c r="E36" s="17" t="s">
        <v>28</v>
      </c>
      <c r="F36" s="17" t="s">
        <v>32</v>
      </c>
      <c r="G36" s="17">
        <v>20</v>
      </c>
      <c r="H36" s="18">
        <v>210</v>
      </c>
      <c r="I36" s="15">
        <v>210</v>
      </c>
      <c r="J36" s="15">
        <f t="shared" si="3"/>
        <v>210</v>
      </c>
      <c r="K36" s="15">
        <f t="shared" si="2"/>
        <v>213</v>
      </c>
      <c r="L36" s="17" t="str">
        <f t="shared" si="0"/>
        <v>1.3CSV20</v>
      </c>
      <c r="M36" s="16" t="s">
        <v>30</v>
      </c>
      <c r="N36" s="1">
        <f>ROUNDUP(O36 * (1 + LOOKUP(G40, {16,18,19,20,22,24,26,28}, {0.0143,0.0229,0.0307,0.0363,0.0338,0.03,0.0193,0.0026})), 0)</f>
        <v>287</v>
      </c>
      <c r="O36" s="1">
        <v>280</v>
      </c>
    </row>
    <row r="37" spans="1:15" ht="21" customHeight="1">
      <c r="A37" s="12"/>
      <c r="B37" s="19"/>
      <c r="C37" s="19"/>
      <c r="D37" s="17">
        <v>2</v>
      </c>
      <c r="E37" s="17" t="s">
        <v>28</v>
      </c>
      <c r="F37" s="17" t="s">
        <v>33</v>
      </c>
      <c r="G37" s="17">
        <v>24</v>
      </c>
      <c r="H37" s="18">
        <v>147</v>
      </c>
      <c r="I37" s="15">
        <v>147</v>
      </c>
      <c r="J37" s="15">
        <f t="shared" si="3"/>
        <v>147</v>
      </c>
      <c r="K37" s="15">
        <f t="shared" si="2"/>
        <v>150</v>
      </c>
      <c r="L37" s="17" t="str">
        <f t="shared" si="0"/>
        <v>2CSV24</v>
      </c>
      <c r="M37" s="16" t="s">
        <v>30</v>
      </c>
      <c r="N37" s="1">
        <f>ROUNDUP(O37 * (1 + LOOKUP(G41, {16,18,19,20,22,24,26,28}, {0.0143,0.0229,0.0307,0.0363,0.0338,0.03,0.0193,0.0026})), 0)</f>
        <v>102</v>
      </c>
      <c r="O37" s="1">
        <v>100</v>
      </c>
    </row>
    <row r="38" spans="1:15" ht="21" customHeight="1">
      <c r="A38" s="12"/>
      <c r="B38" s="19"/>
      <c r="C38" s="19"/>
      <c r="D38" s="17">
        <v>2</v>
      </c>
      <c r="E38" s="17" t="s">
        <v>28</v>
      </c>
      <c r="F38" s="17" t="s">
        <v>33</v>
      </c>
      <c r="G38" s="17">
        <v>22</v>
      </c>
      <c r="H38" s="18">
        <v>189</v>
      </c>
      <c r="I38" s="15">
        <v>189</v>
      </c>
      <c r="J38" s="15">
        <f t="shared" si="3"/>
        <v>189</v>
      </c>
      <c r="K38" s="15">
        <f t="shared" si="2"/>
        <v>192</v>
      </c>
      <c r="L38" s="17" t="str">
        <f t="shared" si="0"/>
        <v>2CSV22</v>
      </c>
      <c r="M38" s="16" t="s">
        <v>30</v>
      </c>
      <c r="N38" s="1">
        <f>ROUNDUP(O38 * (1 + LOOKUP(G42, {16,18,19,20,22,24,26,28}, {0.0143,0.0229,0.0307,0.0363,0.0338,0.03,0.0193,0.0026})), 0)</f>
        <v>134</v>
      </c>
      <c r="O38" s="1">
        <v>130</v>
      </c>
    </row>
    <row r="39" spans="1:15" ht="21" customHeight="1">
      <c r="A39" s="12"/>
      <c r="B39" s="19"/>
      <c r="C39" s="19"/>
      <c r="D39" s="17">
        <v>2</v>
      </c>
      <c r="E39" s="17" t="s">
        <v>28</v>
      </c>
      <c r="F39" s="17" t="s">
        <v>33</v>
      </c>
      <c r="G39" s="17">
        <v>20</v>
      </c>
      <c r="H39" s="18">
        <v>220</v>
      </c>
      <c r="I39" s="15">
        <v>220</v>
      </c>
      <c r="J39" s="15">
        <f t="shared" si="3"/>
        <v>220</v>
      </c>
      <c r="K39" s="15">
        <f t="shared" si="2"/>
        <v>223</v>
      </c>
      <c r="L39" s="17" t="str">
        <f t="shared" si="0"/>
        <v>2CSV20</v>
      </c>
      <c r="M39" s="16" t="s">
        <v>30</v>
      </c>
      <c r="N39" s="1">
        <v>159</v>
      </c>
      <c r="O39" s="1">
        <v>159</v>
      </c>
    </row>
    <row r="40" spans="1:15" ht="21" customHeight="1">
      <c r="A40" s="12"/>
      <c r="B40" s="19"/>
      <c r="C40" s="19"/>
      <c r="D40" s="17">
        <v>2</v>
      </c>
      <c r="E40" s="17" t="s">
        <v>28</v>
      </c>
      <c r="F40" s="17" t="s">
        <v>33</v>
      </c>
      <c r="G40" s="17">
        <v>18</v>
      </c>
      <c r="H40" s="18">
        <v>289</v>
      </c>
      <c r="I40" s="15">
        <v>289</v>
      </c>
      <c r="J40" s="15">
        <f t="shared" si="3"/>
        <v>289</v>
      </c>
      <c r="K40" s="15">
        <f t="shared" si="2"/>
        <v>292</v>
      </c>
      <c r="L40" s="17" t="str">
        <f t="shared" si="0"/>
        <v>2CSV18</v>
      </c>
      <c r="M40" s="16" t="s">
        <v>30</v>
      </c>
      <c r="N40" s="1">
        <f>ROUNDUP(O40 * (1 + LOOKUP(G44, {16,18,19,20,22,24,26,28}, {0.0143,0.0229,0.0307,0.0363,0.0338,0.03,0.0193,0.0026})), 0)</f>
        <v>199</v>
      </c>
      <c r="O40" s="1">
        <v>192</v>
      </c>
    </row>
    <row r="41" spans="1:15" ht="21">
      <c r="A41" s="20" t="s">
        <v>34</v>
      </c>
      <c r="B41" s="21" t="s">
        <v>35</v>
      </c>
      <c r="C41" s="21"/>
      <c r="D41" s="22">
        <v>1</v>
      </c>
      <c r="E41" s="22" t="s">
        <v>36</v>
      </c>
      <c r="F41" s="22" t="s">
        <v>22</v>
      </c>
      <c r="G41" s="22">
        <v>26</v>
      </c>
      <c r="H41" s="23">
        <v>102</v>
      </c>
      <c r="I41" s="24">
        <v>102</v>
      </c>
      <c r="J41" s="15">
        <f t="shared" si="3"/>
        <v>102</v>
      </c>
      <c r="K41" s="15">
        <f t="shared" si="2"/>
        <v>105</v>
      </c>
      <c r="L41" s="22" t="str">
        <f t="shared" si="0"/>
        <v>1E26</v>
      </c>
      <c r="M41" s="25" t="s">
        <v>37</v>
      </c>
      <c r="N41" s="1">
        <v>167</v>
      </c>
      <c r="O41" s="1">
        <v>160</v>
      </c>
    </row>
    <row r="42" spans="1:15" ht="21">
      <c r="A42" s="20"/>
      <c r="B42" s="21"/>
      <c r="C42" s="21"/>
      <c r="D42" s="22">
        <v>1</v>
      </c>
      <c r="E42" s="22" t="s">
        <v>36</v>
      </c>
      <c r="F42" s="22" t="s">
        <v>22</v>
      </c>
      <c r="G42" s="22">
        <v>24</v>
      </c>
      <c r="H42" s="23">
        <v>134</v>
      </c>
      <c r="I42" s="24">
        <v>134</v>
      </c>
      <c r="J42" s="15">
        <f t="shared" si="3"/>
        <v>134</v>
      </c>
      <c r="K42" s="15">
        <f t="shared" si="2"/>
        <v>137</v>
      </c>
      <c r="L42" s="22" t="str">
        <f t="shared" si="0"/>
        <v>1E24</v>
      </c>
      <c r="M42" s="25" t="s">
        <v>37</v>
      </c>
      <c r="N42" s="1">
        <v>202</v>
      </c>
      <c r="O42" s="1">
        <v>190</v>
      </c>
    </row>
    <row r="43" spans="1:15" ht="21">
      <c r="A43" s="20"/>
      <c r="B43" s="21"/>
      <c r="C43" s="21"/>
      <c r="D43" s="22">
        <v>1</v>
      </c>
      <c r="E43" s="22" t="s">
        <v>36</v>
      </c>
      <c r="F43" s="22" t="s">
        <v>22</v>
      </c>
      <c r="G43" s="22">
        <v>22</v>
      </c>
      <c r="H43" s="23">
        <v>159</v>
      </c>
      <c r="I43" s="24">
        <v>159</v>
      </c>
      <c r="J43" s="15">
        <f t="shared" si="3"/>
        <v>159</v>
      </c>
      <c r="K43" s="15">
        <f t="shared" si="2"/>
        <v>162</v>
      </c>
      <c r="L43" s="22" t="str">
        <f t="shared" si="0"/>
        <v>1E22</v>
      </c>
      <c r="M43" s="25" t="s">
        <v>37</v>
      </c>
      <c r="N43" s="1">
        <v>265</v>
      </c>
      <c r="O43" s="1">
        <v>260</v>
      </c>
    </row>
    <row r="44" spans="1:15" ht="21">
      <c r="A44" s="20"/>
      <c r="B44" s="21"/>
      <c r="C44" s="21"/>
      <c r="D44" s="22">
        <v>1</v>
      </c>
      <c r="E44" s="22" t="s">
        <v>36</v>
      </c>
      <c r="F44" s="22" t="s">
        <v>22</v>
      </c>
      <c r="G44" s="22">
        <v>20</v>
      </c>
      <c r="H44" s="23">
        <v>199</v>
      </c>
      <c r="I44" s="24">
        <v>199</v>
      </c>
      <c r="J44" s="15">
        <f t="shared" si="3"/>
        <v>199</v>
      </c>
      <c r="K44" s="15">
        <f t="shared" si="2"/>
        <v>202</v>
      </c>
      <c r="L44" s="22" t="str">
        <f t="shared" si="0"/>
        <v>1E20</v>
      </c>
      <c r="M44" s="25" t="s">
        <v>37</v>
      </c>
      <c r="N44" s="1">
        <v>334</v>
      </c>
      <c r="O44" s="1">
        <v>330</v>
      </c>
    </row>
    <row r="45" spans="1:15" ht="21">
      <c r="A45" s="20"/>
      <c r="B45" s="26" t="s">
        <v>38</v>
      </c>
      <c r="C45" s="27" t="s">
        <v>15</v>
      </c>
      <c r="D45" s="22">
        <v>1.5</v>
      </c>
      <c r="E45" s="22" t="s">
        <v>39</v>
      </c>
      <c r="F45" s="22" t="s">
        <v>39</v>
      </c>
      <c r="G45" s="22">
        <v>22</v>
      </c>
      <c r="H45" s="23">
        <v>167</v>
      </c>
      <c r="I45" s="24">
        <v>167</v>
      </c>
      <c r="J45" s="15">
        <f t="shared" si="3"/>
        <v>167</v>
      </c>
      <c r="K45" s="15">
        <f t="shared" si="2"/>
        <v>170</v>
      </c>
      <c r="L45" s="22" t="str">
        <f t="shared" si="0"/>
        <v>1.5B22</v>
      </c>
      <c r="M45" s="25" t="s">
        <v>40</v>
      </c>
      <c r="N45" s="1">
        <v>167</v>
      </c>
      <c r="O45" s="1">
        <v>160</v>
      </c>
    </row>
    <row r="46" spans="1:15" ht="21">
      <c r="A46" s="20"/>
      <c r="B46" s="26"/>
      <c r="C46" s="27"/>
      <c r="D46" s="22">
        <v>1.5</v>
      </c>
      <c r="E46" s="22" t="s">
        <v>39</v>
      </c>
      <c r="F46" s="22" t="s">
        <v>39</v>
      </c>
      <c r="G46" s="22">
        <v>20</v>
      </c>
      <c r="H46" s="23">
        <v>202</v>
      </c>
      <c r="I46" s="24">
        <v>202</v>
      </c>
      <c r="J46" s="15">
        <f t="shared" si="3"/>
        <v>202</v>
      </c>
      <c r="K46" s="15">
        <f>IF(J46=0, 0, J46+3)</f>
        <v>205</v>
      </c>
      <c r="L46" s="22" t="str">
        <f t="shared" si="0"/>
        <v>1.5B20</v>
      </c>
      <c r="M46" s="25" t="s">
        <v>40</v>
      </c>
      <c r="N46" s="1">
        <v>202</v>
      </c>
      <c r="O46" s="1">
        <v>190</v>
      </c>
    </row>
    <row r="47" spans="1:15" ht="21">
      <c r="A47" s="20"/>
      <c r="B47" s="26"/>
      <c r="C47" s="27"/>
      <c r="D47" s="22">
        <v>1.5</v>
      </c>
      <c r="E47" s="22" t="s">
        <v>39</v>
      </c>
      <c r="F47" s="22" t="s">
        <v>39</v>
      </c>
      <c r="G47" s="22">
        <v>18</v>
      </c>
      <c r="H47" s="23">
        <v>265</v>
      </c>
      <c r="I47" s="24">
        <v>265</v>
      </c>
      <c r="J47" s="15">
        <f t="shared" si="3"/>
        <v>265</v>
      </c>
      <c r="K47" s="15">
        <f>IF(J47=0, 0, J47+3)</f>
        <v>268</v>
      </c>
      <c r="L47" s="22" t="str">
        <f t="shared" si="0"/>
        <v>1.5B18</v>
      </c>
      <c r="M47" s="25" t="s">
        <v>40</v>
      </c>
      <c r="N47" s="1">
        <v>265</v>
      </c>
      <c r="O47" s="1">
        <v>260</v>
      </c>
    </row>
    <row r="48" spans="1:15" ht="21">
      <c r="A48" s="20"/>
      <c r="B48" s="26"/>
      <c r="C48" s="27"/>
      <c r="D48" s="22">
        <v>1.5</v>
      </c>
      <c r="E48" s="22" t="s">
        <v>39</v>
      </c>
      <c r="F48" s="22" t="s">
        <v>39</v>
      </c>
      <c r="G48" s="22">
        <v>16</v>
      </c>
      <c r="H48" s="23">
        <v>334</v>
      </c>
      <c r="I48" s="24">
        <v>334</v>
      </c>
      <c r="J48" s="15">
        <f t="shared" si="3"/>
        <v>334</v>
      </c>
      <c r="K48" s="15">
        <f t="shared" ref="K48:K111" si="4">IF(J48=0, 0, J48+3)</f>
        <v>337</v>
      </c>
      <c r="L48" s="22" t="str">
        <f t="shared" si="0"/>
        <v>1.5B16</v>
      </c>
      <c r="M48" s="25" t="s">
        <v>40</v>
      </c>
      <c r="N48" s="1">
        <v>334</v>
      </c>
      <c r="O48" s="1">
        <v>330</v>
      </c>
    </row>
    <row r="49" spans="1:15" ht="21">
      <c r="A49" s="20"/>
      <c r="B49" s="26"/>
      <c r="C49" s="28" t="s">
        <v>41</v>
      </c>
      <c r="D49" s="22">
        <v>1.5</v>
      </c>
      <c r="E49" s="22" t="s">
        <v>42</v>
      </c>
      <c r="F49" s="22" t="s">
        <v>42</v>
      </c>
      <c r="G49" s="22">
        <v>22</v>
      </c>
      <c r="H49" s="23">
        <v>167</v>
      </c>
      <c r="I49" s="24">
        <v>167</v>
      </c>
      <c r="J49" s="15">
        <f t="shared" si="3"/>
        <v>167</v>
      </c>
      <c r="K49" s="15">
        <f t="shared" si="4"/>
        <v>170</v>
      </c>
      <c r="L49" s="22" t="str">
        <f t="shared" si="0"/>
        <v>1.5BI22</v>
      </c>
      <c r="M49" s="25" t="s">
        <v>43</v>
      </c>
      <c r="N49" s="1">
        <v>167</v>
      </c>
      <c r="O49" s="1">
        <v>160</v>
      </c>
    </row>
    <row r="50" spans="1:15" ht="21">
      <c r="A50" s="20"/>
      <c r="B50" s="26"/>
      <c r="C50" s="28"/>
      <c r="D50" s="22">
        <v>1.5</v>
      </c>
      <c r="E50" s="22" t="s">
        <v>42</v>
      </c>
      <c r="F50" s="22" t="s">
        <v>42</v>
      </c>
      <c r="G50" s="22">
        <v>20</v>
      </c>
      <c r="H50" s="23">
        <v>202</v>
      </c>
      <c r="I50" s="24">
        <v>202</v>
      </c>
      <c r="J50" s="15">
        <f t="shared" si="3"/>
        <v>202</v>
      </c>
      <c r="K50" s="15">
        <f t="shared" si="4"/>
        <v>205</v>
      </c>
      <c r="L50" s="22" t="str">
        <f t="shared" si="0"/>
        <v>1.5BI20</v>
      </c>
      <c r="M50" s="25" t="s">
        <v>43</v>
      </c>
      <c r="N50" s="1">
        <v>202</v>
      </c>
      <c r="O50" s="1">
        <v>190</v>
      </c>
    </row>
    <row r="51" spans="1:15" ht="21">
      <c r="A51" s="20"/>
      <c r="B51" s="26"/>
      <c r="C51" s="28"/>
      <c r="D51" s="22">
        <v>1.5</v>
      </c>
      <c r="E51" s="22" t="s">
        <v>42</v>
      </c>
      <c r="F51" s="22" t="s">
        <v>42</v>
      </c>
      <c r="G51" s="22">
        <v>18</v>
      </c>
      <c r="H51" s="23">
        <v>265</v>
      </c>
      <c r="I51" s="24">
        <v>265</v>
      </c>
      <c r="J51" s="15">
        <f t="shared" si="3"/>
        <v>265</v>
      </c>
      <c r="K51" s="15">
        <f t="shared" si="4"/>
        <v>268</v>
      </c>
      <c r="L51" s="22" t="str">
        <f t="shared" si="0"/>
        <v>1.5BI18</v>
      </c>
      <c r="M51" s="25" t="s">
        <v>43</v>
      </c>
      <c r="N51" s="1">
        <v>265</v>
      </c>
      <c r="O51" s="1">
        <v>260</v>
      </c>
    </row>
    <row r="52" spans="1:15" ht="21">
      <c r="A52" s="20"/>
      <c r="B52" s="26"/>
      <c r="C52" s="28"/>
      <c r="D52" s="22">
        <v>1.5</v>
      </c>
      <c r="E52" s="22" t="s">
        <v>42</v>
      </c>
      <c r="F52" s="22" t="s">
        <v>42</v>
      </c>
      <c r="G52" s="22">
        <v>16</v>
      </c>
      <c r="H52" s="23">
        <v>334</v>
      </c>
      <c r="I52" s="24">
        <v>334</v>
      </c>
      <c r="J52" s="15">
        <f t="shared" si="3"/>
        <v>334</v>
      </c>
      <c r="K52" s="15">
        <f t="shared" si="4"/>
        <v>337</v>
      </c>
      <c r="L52" s="22" t="str">
        <f t="shared" si="0"/>
        <v>1.5BI16</v>
      </c>
      <c r="M52" s="25" t="s">
        <v>43</v>
      </c>
      <c r="N52" s="1">
        <v>334</v>
      </c>
      <c r="O52" s="1">
        <v>330</v>
      </c>
    </row>
    <row r="53" spans="1:15" ht="21">
      <c r="A53" s="20"/>
      <c r="B53" s="26"/>
      <c r="C53" s="27" t="s">
        <v>44</v>
      </c>
      <c r="D53" s="29">
        <v>1.5</v>
      </c>
      <c r="E53" s="29" t="s">
        <v>45</v>
      </c>
      <c r="F53" s="29" t="s">
        <v>45</v>
      </c>
      <c r="G53" s="29">
        <v>22</v>
      </c>
      <c r="H53" s="30">
        <v>169</v>
      </c>
      <c r="I53" s="24">
        <v>169</v>
      </c>
      <c r="J53" s="15">
        <f t="shared" si="3"/>
        <v>169</v>
      </c>
      <c r="K53" s="15">
        <f t="shared" si="4"/>
        <v>172</v>
      </c>
      <c r="L53" s="22" t="str">
        <f t="shared" si="0"/>
        <v>1.5BA22</v>
      </c>
      <c r="M53" s="25" t="s">
        <v>46</v>
      </c>
      <c r="N53" s="1">
        <v>167</v>
      </c>
      <c r="O53" s="1">
        <v>160</v>
      </c>
    </row>
    <row r="54" spans="1:15" ht="21">
      <c r="A54" s="20"/>
      <c r="B54" s="26"/>
      <c r="C54" s="27"/>
      <c r="D54" s="29">
        <v>1.5</v>
      </c>
      <c r="E54" s="29" t="s">
        <v>45</v>
      </c>
      <c r="F54" s="29" t="s">
        <v>45</v>
      </c>
      <c r="G54" s="29">
        <v>20</v>
      </c>
      <c r="H54" s="30">
        <v>204</v>
      </c>
      <c r="I54" s="24">
        <v>204</v>
      </c>
      <c r="J54" s="15">
        <f t="shared" si="3"/>
        <v>204</v>
      </c>
      <c r="K54" s="15">
        <f t="shared" si="4"/>
        <v>207</v>
      </c>
      <c r="L54" s="22" t="str">
        <f t="shared" si="0"/>
        <v>1.5BA20</v>
      </c>
      <c r="M54" s="25" t="s">
        <v>46</v>
      </c>
      <c r="N54" s="1">
        <v>202</v>
      </c>
      <c r="O54" s="1">
        <v>190</v>
      </c>
    </row>
    <row r="55" spans="1:15" ht="21">
      <c r="A55" s="20"/>
      <c r="B55" s="26"/>
      <c r="C55" s="27"/>
      <c r="D55" s="29">
        <v>1.5</v>
      </c>
      <c r="E55" s="29" t="s">
        <v>45</v>
      </c>
      <c r="F55" s="29" t="s">
        <v>45</v>
      </c>
      <c r="G55" s="29">
        <v>18</v>
      </c>
      <c r="H55" s="30">
        <v>267</v>
      </c>
      <c r="I55" s="24">
        <v>267</v>
      </c>
      <c r="J55" s="15">
        <f t="shared" si="3"/>
        <v>267</v>
      </c>
      <c r="K55" s="15">
        <f t="shared" si="4"/>
        <v>270</v>
      </c>
      <c r="L55" s="22" t="str">
        <f t="shared" si="0"/>
        <v>1.5BA18</v>
      </c>
      <c r="M55" s="25" t="s">
        <v>46</v>
      </c>
      <c r="N55" s="1">
        <v>265</v>
      </c>
      <c r="O55" s="1">
        <v>260</v>
      </c>
    </row>
    <row r="56" spans="1:15" ht="21">
      <c r="A56" s="20"/>
      <c r="B56" s="26"/>
      <c r="C56" s="27"/>
      <c r="D56" s="29">
        <v>1.5</v>
      </c>
      <c r="E56" s="29" t="s">
        <v>45</v>
      </c>
      <c r="F56" s="29" t="s">
        <v>45</v>
      </c>
      <c r="G56" s="29">
        <v>16</v>
      </c>
      <c r="H56" s="30">
        <v>336</v>
      </c>
      <c r="I56" s="24">
        <v>336</v>
      </c>
      <c r="J56" s="15">
        <f t="shared" si="3"/>
        <v>336</v>
      </c>
      <c r="K56" s="15">
        <f t="shared" si="4"/>
        <v>339</v>
      </c>
      <c r="L56" s="22" t="str">
        <f t="shared" si="0"/>
        <v>1.5BA16</v>
      </c>
      <c r="M56" s="25" t="s">
        <v>46</v>
      </c>
      <c r="N56" s="1">
        <v>334</v>
      </c>
      <c r="O56" s="1">
        <v>330</v>
      </c>
    </row>
    <row r="57" spans="1:15" ht="21">
      <c r="A57" s="20"/>
      <c r="B57" s="26"/>
      <c r="C57" s="31" t="s">
        <v>47</v>
      </c>
      <c r="D57" s="29">
        <v>1.5</v>
      </c>
      <c r="E57" s="29" t="s">
        <v>48</v>
      </c>
      <c r="F57" s="29" t="s">
        <v>48</v>
      </c>
      <c r="G57" s="29">
        <v>22</v>
      </c>
      <c r="H57" s="30">
        <v>169</v>
      </c>
      <c r="I57" s="24">
        <v>169</v>
      </c>
      <c r="J57" s="15">
        <f t="shared" si="3"/>
        <v>169</v>
      </c>
      <c r="K57" s="15">
        <f t="shared" si="4"/>
        <v>172</v>
      </c>
      <c r="L57" s="22" t="str">
        <f t="shared" si="0"/>
        <v>1.5BIA22</v>
      </c>
      <c r="M57" s="25" t="s">
        <v>49</v>
      </c>
      <c r="N57" s="1">
        <f>ROUNDUP(O57 * (1 + LOOKUP(MIN(VALUE(LEFT(G61,FIND("/",G61&amp;"/")-1)), VALUE(MID(G61,FIND("/",G61)+1, LEN(G61)))), {16,18,19,20,22,24,26,28}, {0.0143,0.0229,0.0307,0.0363,0.0338,0.03,0.0193,0.0026})), 0)</f>
        <v>410</v>
      </c>
      <c r="O57" s="1">
        <v>400</v>
      </c>
    </row>
    <row r="58" spans="1:15" ht="21">
      <c r="A58" s="20"/>
      <c r="B58" s="26"/>
      <c r="C58" s="31"/>
      <c r="D58" s="29">
        <v>1.5</v>
      </c>
      <c r="E58" s="29" t="s">
        <v>48</v>
      </c>
      <c r="F58" s="29" t="s">
        <v>48</v>
      </c>
      <c r="G58" s="29">
        <v>20</v>
      </c>
      <c r="H58" s="30">
        <v>204</v>
      </c>
      <c r="I58" s="24">
        <v>204</v>
      </c>
      <c r="J58" s="15">
        <f t="shared" si="3"/>
        <v>204</v>
      </c>
      <c r="K58" s="15">
        <f t="shared" si="4"/>
        <v>207</v>
      </c>
      <c r="L58" s="22" t="str">
        <f t="shared" si="0"/>
        <v>1.5BIA20</v>
      </c>
      <c r="M58" s="25" t="s">
        <v>49</v>
      </c>
      <c r="N58" s="1">
        <f>ROUNDUP(O58 * (1 + LOOKUP(MIN(VALUE(LEFT(G62,FIND("/",G62&amp;"/")-1)), VALUE(MID(G62,FIND("/",G62)+1, LEN(G62)))), {16,18,19,20,22,24,26,28}, {0.0143,0.0229,0.0307,0.0363,0.0338,0.03,0.0193,0.0026})), 0)</f>
        <v>461</v>
      </c>
      <c r="O58" s="1">
        <v>450</v>
      </c>
    </row>
    <row r="59" spans="1:15" ht="21">
      <c r="A59" s="20"/>
      <c r="B59" s="26"/>
      <c r="C59" s="31"/>
      <c r="D59" s="29">
        <v>1.5</v>
      </c>
      <c r="E59" s="29" t="s">
        <v>48</v>
      </c>
      <c r="F59" s="29" t="s">
        <v>48</v>
      </c>
      <c r="G59" s="29">
        <v>18</v>
      </c>
      <c r="H59" s="30">
        <v>267</v>
      </c>
      <c r="I59" s="24">
        <v>267</v>
      </c>
      <c r="J59" s="15">
        <f t="shared" si="3"/>
        <v>267</v>
      </c>
      <c r="K59" s="15">
        <f t="shared" si="4"/>
        <v>270</v>
      </c>
      <c r="L59" s="22" t="str">
        <f t="shared" si="0"/>
        <v>1.5BIA18</v>
      </c>
      <c r="M59" s="25" t="s">
        <v>49</v>
      </c>
      <c r="N59" s="1">
        <f>ROUNDUP(O59 * (1 + LOOKUP(MIN(VALUE(LEFT(G63,FIND("/",G63&amp;"/")-1)), VALUE(MID(G63,FIND("/",G63)+1, LEN(G63)))), {16,18,19,20,22,24,26,28}, {0.0143,0.0229,0.0307,0.0363,0.0338,0.03,0.0193,0.0026})), 0)</f>
        <v>558</v>
      </c>
      <c r="O59" s="1">
        <v>550</v>
      </c>
    </row>
    <row r="60" spans="1:15" ht="21">
      <c r="A60" s="20"/>
      <c r="B60" s="26"/>
      <c r="C60" s="31"/>
      <c r="D60" s="29">
        <v>1.5</v>
      </c>
      <c r="E60" s="29" t="s">
        <v>48</v>
      </c>
      <c r="F60" s="29" t="s">
        <v>48</v>
      </c>
      <c r="G60" s="29">
        <v>16</v>
      </c>
      <c r="H60" s="30">
        <v>336</v>
      </c>
      <c r="I60" s="24">
        <v>336</v>
      </c>
      <c r="J60" s="15">
        <f t="shared" si="3"/>
        <v>336</v>
      </c>
      <c r="K60" s="15">
        <f t="shared" si="4"/>
        <v>339</v>
      </c>
      <c r="L60" s="22" t="str">
        <f t="shared" si="0"/>
        <v>1.5BIA16</v>
      </c>
      <c r="M60" s="25" t="s">
        <v>49</v>
      </c>
      <c r="N60" s="1">
        <f>ROUNDUP(O60 * (1 + LOOKUP(MIN(VALUE(LEFT(G64,FIND("/",G64&amp;"/")-1)), VALUE(MID(G64,FIND("/",G64)+1, LEN(G64)))), {16,18,19,20,22,24,26,28}, {0.0143,0.0229,0.0307,0.0363,0.0338,0.03,0.0193,0.0026})), 0)</f>
        <v>558</v>
      </c>
      <c r="O60" s="1">
        <v>550</v>
      </c>
    </row>
    <row r="61" spans="1:15" ht="21">
      <c r="A61" s="20"/>
      <c r="B61" s="26"/>
      <c r="C61" s="27" t="s">
        <v>50</v>
      </c>
      <c r="D61" s="29">
        <v>1.5</v>
      </c>
      <c r="E61" s="22" t="s">
        <v>51</v>
      </c>
      <c r="F61" s="22" t="s">
        <v>52</v>
      </c>
      <c r="G61" s="22" t="s">
        <v>53</v>
      </c>
      <c r="H61" s="23">
        <v>0</v>
      </c>
      <c r="I61" s="24">
        <v>0</v>
      </c>
      <c r="J61" s="15">
        <f t="shared" si="3"/>
        <v>0</v>
      </c>
      <c r="K61" s="15">
        <f t="shared" si="4"/>
        <v>0</v>
      </c>
      <c r="L61" s="22" t="str">
        <f t="shared" si="0"/>
        <v>1.5BP20/18</v>
      </c>
      <c r="M61" s="25" t="s">
        <v>54</v>
      </c>
      <c r="N61" s="1">
        <f>ROUNDUP(O61 * (1 + LOOKUP(G65, {16,18,19,20,22,24,26,28}, {0.0143,0.0229,0.0307,0.0363,0.0338,0.03,0.0193,0.0026})), 0)</f>
        <v>363</v>
      </c>
      <c r="O61" s="1">
        <v>350</v>
      </c>
    </row>
    <row r="62" spans="1:15" ht="21">
      <c r="A62" s="20"/>
      <c r="B62" s="26"/>
      <c r="C62" s="27"/>
      <c r="D62" s="29">
        <v>1.5</v>
      </c>
      <c r="E62" s="22" t="s">
        <v>51</v>
      </c>
      <c r="F62" s="22" t="s">
        <v>52</v>
      </c>
      <c r="G62" s="22" t="s">
        <v>55</v>
      </c>
      <c r="H62" s="23">
        <v>0</v>
      </c>
      <c r="I62" s="24">
        <v>0</v>
      </c>
      <c r="J62" s="15">
        <f t="shared" si="3"/>
        <v>0</v>
      </c>
      <c r="K62" s="15">
        <f t="shared" si="4"/>
        <v>0</v>
      </c>
      <c r="L62" s="22" t="str">
        <f t="shared" si="0"/>
        <v>1.5BP18/20</v>
      </c>
      <c r="M62" s="25" t="s">
        <v>54</v>
      </c>
      <c r="N62" s="1">
        <f>ROUNDUP(O62 * (1 + LOOKUP(G66, {16,18,19,20,22,24,26,28}, {0.0143,0.0229,0.0307,0.0363,0.0338,0.03,0.0193,0.0026})), 0)</f>
        <v>512</v>
      </c>
      <c r="O62" s="1">
        <v>500</v>
      </c>
    </row>
    <row r="63" spans="1:15" ht="21">
      <c r="A63" s="20"/>
      <c r="B63" s="26"/>
      <c r="C63" s="27"/>
      <c r="D63" s="29">
        <v>1.5</v>
      </c>
      <c r="E63" s="22" t="s">
        <v>51</v>
      </c>
      <c r="F63" s="22" t="s">
        <v>52</v>
      </c>
      <c r="G63" s="22" t="s">
        <v>56</v>
      </c>
      <c r="H63" s="23">
        <v>0</v>
      </c>
      <c r="I63" s="24">
        <v>0</v>
      </c>
      <c r="J63" s="15">
        <f t="shared" si="3"/>
        <v>0</v>
      </c>
      <c r="K63" s="15">
        <f t="shared" si="4"/>
        <v>0</v>
      </c>
      <c r="L63" s="22" t="str">
        <f t="shared" si="0"/>
        <v>1.5BP18/16</v>
      </c>
      <c r="M63" s="25" t="s">
        <v>54</v>
      </c>
      <c r="N63" s="1">
        <f>ROUNDUP(O63 * (1 + LOOKUP(G67, {16,18,19,20,22,24,26,28}, {0.0143,0.0229,0.0307,0.0363,0.0338,0.03,0.0193,0.0026})), 0)</f>
        <v>609</v>
      </c>
      <c r="O63" s="1">
        <v>600</v>
      </c>
    </row>
    <row r="64" spans="1:15" ht="21">
      <c r="A64" s="20"/>
      <c r="B64" s="26"/>
      <c r="C64" s="27"/>
      <c r="D64" s="29">
        <v>1.5</v>
      </c>
      <c r="E64" s="22" t="s">
        <v>51</v>
      </c>
      <c r="F64" s="22" t="s">
        <v>52</v>
      </c>
      <c r="G64" s="22" t="s">
        <v>57</v>
      </c>
      <c r="H64" s="23">
        <v>0</v>
      </c>
      <c r="I64" s="24">
        <v>0</v>
      </c>
      <c r="J64" s="15">
        <f t="shared" si="3"/>
        <v>0</v>
      </c>
      <c r="K64" s="15">
        <f t="shared" si="4"/>
        <v>0</v>
      </c>
      <c r="L64" s="22" t="str">
        <f t="shared" si="0"/>
        <v>1.5BP16/18</v>
      </c>
      <c r="M64" s="25" t="s">
        <v>54</v>
      </c>
      <c r="N64" s="1">
        <f>ROUNDUP(O64 * (1 + LOOKUP(MIN(VALUE(LEFT(G68,FIND("/",G68&amp;"/")-1)), VALUE(MID(G68,FIND("/",G68)+1, LEN(G68)))), {16,18,19,20,22,24,26,28}, {0.0143,0.0229,0.0307,0.0363,0.0338,0.03,0.0193,0.0026})), 0)</f>
        <v>410</v>
      </c>
      <c r="O64" s="1">
        <v>400</v>
      </c>
    </row>
    <row r="65" spans="1:15" ht="21">
      <c r="A65" s="20"/>
      <c r="B65" s="26"/>
      <c r="C65" s="27"/>
      <c r="D65" s="29">
        <v>1.5</v>
      </c>
      <c r="E65" s="22" t="s">
        <v>51</v>
      </c>
      <c r="F65" s="22" t="s">
        <v>52</v>
      </c>
      <c r="G65" s="22">
        <v>20</v>
      </c>
      <c r="H65" s="23">
        <v>0</v>
      </c>
      <c r="I65" s="24">
        <v>0</v>
      </c>
      <c r="J65" s="15">
        <f t="shared" si="3"/>
        <v>0</v>
      </c>
      <c r="K65" s="15">
        <f t="shared" si="4"/>
        <v>0</v>
      </c>
      <c r="L65" s="22" t="str">
        <f t="shared" si="0"/>
        <v>1.5BP20</v>
      </c>
      <c r="M65" s="25" t="s">
        <v>54</v>
      </c>
      <c r="N65" s="1">
        <f>ROUNDUP(O65 * (1 + LOOKUP(MIN(VALUE(LEFT(G69,FIND("/",G69&amp;"/")-1)), VALUE(MID(G69,FIND("/",G69)+1, LEN(G69)))), {16,18,19,20,22,24,26,28}, {0.0143,0.0229,0.0307,0.0363,0.0338,0.03,0.0193,0.0026})), 0)</f>
        <v>461</v>
      </c>
      <c r="O65" s="1">
        <v>450</v>
      </c>
    </row>
    <row r="66" spans="1:15" ht="21">
      <c r="A66" s="20"/>
      <c r="B66" s="26"/>
      <c r="C66" s="27"/>
      <c r="D66" s="29">
        <v>1.5</v>
      </c>
      <c r="E66" s="22" t="s">
        <v>51</v>
      </c>
      <c r="F66" s="22" t="s">
        <v>52</v>
      </c>
      <c r="G66" s="22">
        <v>18</v>
      </c>
      <c r="H66" s="23">
        <v>0</v>
      </c>
      <c r="I66" s="24">
        <v>0</v>
      </c>
      <c r="J66" s="15">
        <f t="shared" si="3"/>
        <v>0</v>
      </c>
      <c r="K66" s="15">
        <f t="shared" si="4"/>
        <v>0</v>
      </c>
      <c r="L66" s="22" t="str">
        <f t="shared" si="0"/>
        <v>1.5BP18</v>
      </c>
      <c r="M66" s="25" t="s">
        <v>54</v>
      </c>
      <c r="N66" s="1">
        <f>ROUNDUP(O66 * (1 + LOOKUP(MIN(VALUE(LEFT(G70,FIND("/",G70&amp;"/")-1)), VALUE(MID(G70,FIND("/",G70)+1, LEN(G70)))), {16,18,19,20,22,24,26,28}, {0.0143,0.0229,0.0307,0.0363,0.0338,0.03,0.0193,0.0026})), 0)</f>
        <v>558</v>
      </c>
      <c r="O66" s="1">
        <v>550</v>
      </c>
    </row>
    <row r="67" spans="1:15" ht="21">
      <c r="A67" s="20"/>
      <c r="B67" s="26"/>
      <c r="C67" s="27"/>
      <c r="D67" s="29">
        <v>1.5</v>
      </c>
      <c r="E67" s="22" t="s">
        <v>51</v>
      </c>
      <c r="F67" s="22" t="s">
        <v>52</v>
      </c>
      <c r="G67" s="22">
        <v>16</v>
      </c>
      <c r="H67" s="23">
        <v>0</v>
      </c>
      <c r="I67" s="24">
        <v>0</v>
      </c>
      <c r="J67" s="15">
        <f t="shared" si="3"/>
        <v>0</v>
      </c>
      <c r="K67" s="15">
        <f t="shared" si="4"/>
        <v>0</v>
      </c>
      <c r="L67" s="22" t="str">
        <f t="shared" ref="L67:L130" si="5">D67&amp;E67&amp;G67</f>
        <v>1.5BP16</v>
      </c>
      <c r="M67" s="25" t="s">
        <v>54</v>
      </c>
      <c r="N67" s="1">
        <f>ROUNDUP(O67 * (1 + LOOKUP(MIN(VALUE(LEFT(G71,FIND("/",G71&amp;"/")-1)), VALUE(MID(G71,FIND("/",G71)+1, LEN(G71)))), {16,18,19,20,22,24,26,28}, {0.0143,0.0229,0.0307,0.0363,0.0338,0.03,0.0193,0.0026})), 0)</f>
        <v>558</v>
      </c>
      <c r="O67" s="1">
        <v>550</v>
      </c>
    </row>
    <row r="68" spans="1:15" ht="21">
      <c r="A68" s="20"/>
      <c r="B68" s="26"/>
      <c r="C68" s="31" t="s">
        <v>58</v>
      </c>
      <c r="D68" s="29">
        <v>1.5</v>
      </c>
      <c r="E68" s="22" t="s">
        <v>59</v>
      </c>
      <c r="F68" s="22" t="s">
        <v>60</v>
      </c>
      <c r="G68" s="22" t="s">
        <v>53</v>
      </c>
      <c r="H68" s="23">
        <v>0</v>
      </c>
      <c r="I68" s="24">
        <v>0</v>
      </c>
      <c r="J68" s="15">
        <f t="shared" si="3"/>
        <v>0</v>
      </c>
      <c r="K68" s="15">
        <f t="shared" si="4"/>
        <v>0</v>
      </c>
      <c r="L68" s="22" t="str">
        <f t="shared" si="5"/>
        <v>1.5BPA20/18</v>
      </c>
      <c r="M68" s="25" t="s">
        <v>61</v>
      </c>
      <c r="N68" s="1">
        <f>ROUNDUP(O68 * (1 + LOOKUP(G72, {16,18,19,20,22,24,26,28}, {0.0143,0.0229,0.0307,0.0363,0.0338,0.03,0.0193,0.0026})), 0)</f>
        <v>363</v>
      </c>
      <c r="O68" s="1">
        <v>350</v>
      </c>
    </row>
    <row r="69" spans="1:15" ht="21">
      <c r="A69" s="20"/>
      <c r="B69" s="26"/>
      <c r="C69" s="31"/>
      <c r="D69" s="29">
        <v>1.5</v>
      </c>
      <c r="E69" s="22" t="s">
        <v>59</v>
      </c>
      <c r="F69" s="22" t="s">
        <v>60</v>
      </c>
      <c r="G69" s="22" t="s">
        <v>55</v>
      </c>
      <c r="H69" s="23">
        <v>0</v>
      </c>
      <c r="I69" s="24">
        <v>0</v>
      </c>
      <c r="J69" s="15">
        <f t="shared" si="3"/>
        <v>0</v>
      </c>
      <c r="K69" s="15">
        <f t="shared" si="4"/>
        <v>0</v>
      </c>
      <c r="L69" s="22" t="str">
        <f t="shared" si="5"/>
        <v>1.5BPA18/20</v>
      </c>
      <c r="M69" s="25" t="s">
        <v>61</v>
      </c>
      <c r="N69" s="1">
        <f>ROUNDUP(O69 * (1 + LOOKUP(G73, {16,18,19,20,22,24,26,28}, {0.0143,0.0229,0.0307,0.0363,0.0338,0.03,0.0193,0.0026})), 0)</f>
        <v>512</v>
      </c>
      <c r="O69" s="1">
        <v>500</v>
      </c>
    </row>
    <row r="70" spans="1:15" ht="21">
      <c r="A70" s="20"/>
      <c r="B70" s="26"/>
      <c r="C70" s="31"/>
      <c r="D70" s="29">
        <v>1.5</v>
      </c>
      <c r="E70" s="22" t="s">
        <v>59</v>
      </c>
      <c r="F70" s="22" t="s">
        <v>60</v>
      </c>
      <c r="G70" s="22" t="s">
        <v>56</v>
      </c>
      <c r="H70" s="23">
        <v>0</v>
      </c>
      <c r="I70" s="24">
        <v>0</v>
      </c>
      <c r="J70" s="15">
        <f t="shared" si="3"/>
        <v>0</v>
      </c>
      <c r="K70" s="15">
        <f t="shared" si="4"/>
        <v>0</v>
      </c>
      <c r="L70" s="22" t="str">
        <f t="shared" si="5"/>
        <v>1.5BPA18/16</v>
      </c>
      <c r="M70" s="25" t="s">
        <v>61</v>
      </c>
      <c r="N70" s="1">
        <f>ROUNDUP(O70 * (1 + LOOKUP(G74, {16,18,19,20,22,24,26,28}, {0.0143,0.0229,0.0307,0.0363,0.0338,0.03,0.0193,0.0026})), 0)</f>
        <v>609</v>
      </c>
      <c r="O70" s="1">
        <v>600</v>
      </c>
    </row>
    <row r="71" spans="1:15" ht="21">
      <c r="A71" s="20"/>
      <c r="B71" s="26"/>
      <c r="C71" s="31"/>
      <c r="D71" s="29">
        <v>1.5</v>
      </c>
      <c r="E71" s="22" t="s">
        <v>59</v>
      </c>
      <c r="F71" s="22" t="s">
        <v>60</v>
      </c>
      <c r="G71" s="22" t="s">
        <v>57</v>
      </c>
      <c r="H71" s="23">
        <v>0</v>
      </c>
      <c r="I71" s="24">
        <v>0</v>
      </c>
      <c r="J71" s="15">
        <f t="shared" si="3"/>
        <v>0</v>
      </c>
      <c r="K71" s="15">
        <f t="shared" si="4"/>
        <v>0</v>
      </c>
      <c r="L71" s="22" t="str">
        <f t="shared" si="5"/>
        <v>1.5BPA16/18</v>
      </c>
      <c r="M71" s="25" t="s">
        <v>61</v>
      </c>
      <c r="N71" s="1">
        <v>205</v>
      </c>
      <c r="O71" s="1">
        <v>200</v>
      </c>
    </row>
    <row r="72" spans="1:15" ht="21">
      <c r="A72" s="20"/>
      <c r="B72" s="26"/>
      <c r="C72" s="31"/>
      <c r="D72" s="29">
        <v>1.5</v>
      </c>
      <c r="E72" s="22" t="s">
        <v>59</v>
      </c>
      <c r="F72" s="22" t="s">
        <v>60</v>
      </c>
      <c r="G72" s="22">
        <v>20</v>
      </c>
      <c r="H72" s="23">
        <v>0</v>
      </c>
      <c r="I72" s="24">
        <v>0</v>
      </c>
      <c r="J72" s="15">
        <f t="shared" si="3"/>
        <v>0</v>
      </c>
      <c r="K72" s="15">
        <f t="shared" si="4"/>
        <v>0</v>
      </c>
      <c r="L72" s="22" t="str">
        <f t="shared" si="5"/>
        <v>1.5BPA20</v>
      </c>
      <c r="M72" s="25" t="s">
        <v>61</v>
      </c>
      <c r="N72" s="1">
        <v>248</v>
      </c>
      <c r="O72" s="1">
        <v>240</v>
      </c>
    </row>
    <row r="73" spans="1:15" ht="21">
      <c r="A73" s="20"/>
      <c r="B73" s="26"/>
      <c r="C73" s="31"/>
      <c r="D73" s="29">
        <v>1.5</v>
      </c>
      <c r="E73" s="22" t="s">
        <v>59</v>
      </c>
      <c r="F73" s="22" t="s">
        <v>60</v>
      </c>
      <c r="G73" s="22">
        <v>18</v>
      </c>
      <c r="H73" s="23">
        <v>0</v>
      </c>
      <c r="I73" s="24">
        <v>0</v>
      </c>
      <c r="J73" s="15">
        <f t="shared" si="3"/>
        <v>0</v>
      </c>
      <c r="K73" s="15">
        <f t="shared" si="4"/>
        <v>0</v>
      </c>
      <c r="L73" s="22" t="str">
        <f t="shared" si="5"/>
        <v>1.5BPA18</v>
      </c>
      <c r="M73" s="25" t="s">
        <v>61</v>
      </c>
      <c r="N73" s="1">
        <v>325</v>
      </c>
      <c r="O73" s="1">
        <v>320</v>
      </c>
    </row>
    <row r="74" spans="1:15" ht="21">
      <c r="A74" s="20"/>
      <c r="B74" s="26"/>
      <c r="C74" s="31"/>
      <c r="D74" s="29">
        <v>1.5</v>
      </c>
      <c r="E74" s="22" t="s">
        <v>59</v>
      </c>
      <c r="F74" s="22" t="s">
        <v>60</v>
      </c>
      <c r="G74" s="22">
        <v>16</v>
      </c>
      <c r="H74" s="23">
        <v>0</v>
      </c>
      <c r="I74" s="24">
        <v>0</v>
      </c>
      <c r="J74" s="15">
        <f t="shared" si="3"/>
        <v>0</v>
      </c>
      <c r="K74" s="15">
        <f t="shared" si="4"/>
        <v>0</v>
      </c>
      <c r="L74" s="22" t="str">
        <f t="shared" si="5"/>
        <v>1.5BPA16</v>
      </c>
      <c r="M74" s="25" t="s">
        <v>61</v>
      </c>
      <c r="N74" s="1">
        <v>411</v>
      </c>
      <c r="O74" s="1">
        <v>410</v>
      </c>
    </row>
    <row r="75" spans="1:15" ht="21">
      <c r="A75" s="20"/>
      <c r="B75" s="32" t="s">
        <v>62</v>
      </c>
      <c r="C75" s="33" t="s">
        <v>15</v>
      </c>
      <c r="D75" s="22">
        <v>3</v>
      </c>
      <c r="E75" s="22" t="s">
        <v>62</v>
      </c>
      <c r="F75" s="22" t="s">
        <v>63</v>
      </c>
      <c r="G75" s="22">
        <v>22</v>
      </c>
      <c r="H75" s="23">
        <v>205</v>
      </c>
      <c r="I75" s="24">
        <v>205</v>
      </c>
      <c r="J75" s="15">
        <f t="shared" si="3"/>
        <v>205</v>
      </c>
      <c r="K75" s="15">
        <f t="shared" si="4"/>
        <v>208</v>
      </c>
      <c r="L75" s="22" t="str">
        <f t="shared" si="5"/>
        <v>3N-2422</v>
      </c>
      <c r="M75" s="25" t="s">
        <v>64</v>
      </c>
      <c r="N75" s="1">
        <v>205</v>
      </c>
      <c r="O75" s="1">
        <v>200</v>
      </c>
    </row>
    <row r="76" spans="1:15" ht="21">
      <c r="A76" s="20"/>
      <c r="B76" s="32"/>
      <c r="C76" s="33"/>
      <c r="D76" s="22">
        <v>3</v>
      </c>
      <c r="E76" s="22" t="s">
        <v>62</v>
      </c>
      <c r="F76" s="22" t="s">
        <v>63</v>
      </c>
      <c r="G76" s="22">
        <v>20</v>
      </c>
      <c r="H76" s="23">
        <v>248</v>
      </c>
      <c r="I76" s="24">
        <v>248</v>
      </c>
      <c r="J76" s="15">
        <f t="shared" si="3"/>
        <v>248</v>
      </c>
      <c r="K76" s="15">
        <f t="shared" si="4"/>
        <v>251</v>
      </c>
      <c r="L76" s="22" t="str">
        <f t="shared" si="5"/>
        <v>3N-2420</v>
      </c>
      <c r="M76" s="25" t="s">
        <v>64</v>
      </c>
      <c r="N76" s="1">
        <v>248</v>
      </c>
      <c r="O76" s="1">
        <v>240</v>
      </c>
    </row>
    <row r="77" spans="1:15" ht="21">
      <c r="A77" s="20"/>
      <c r="B77" s="32"/>
      <c r="C77" s="33"/>
      <c r="D77" s="22">
        <v>3</v>
      </c>
      <c r="E77" s="22" t="s">
        <v>62</v>
      </c>
      <c r="F77" s="22" t="s">
        <v>63</v>
      </c>
      <c r="G77" s="22">
        <v>18</v>
      </c>
      <c r="H77" s="23">
        <v>325</v>
      </c>
      <c r="I77" s="24">
        <v>325</v>
      </c>
      <c r="J77" s="15">
        <f t="shared" si="3"/>
        <v>325</v>
      </c>
      <c r="K77" s="15">
        <f t="shared" si="4"/>
        <v>328</v>
      </c>
      <c r="L77" s="22" t="str">
        <f t="shared" si="5"/>
        <v>3N-2418</v>
      </c>
      <c r="M77" s="25" t="s">
        <v>64</v>
      </c>
      <c r="N77" s="1">
        <v>325</v>
      </c>
      <c r="O77" s="1">
        <v>320</v>
      </c>
    </row>
    <row r="78" spans="1:15" ht="21">
      <c r="A78" s="20"/>
      <c r="B78" s="32"/>
      <c r="C78" s="33"/>
      <c r="D78" s="22">
        <v>3</v>
      </c>
      <c r="E78" s="22" t="s">
        <v>62</v>
      </c>
      <c r="F78" s="22" t="s">
        <v>63</v>
      </c>
      <c r="G78" s="22">
        <v>16</v>
      </c>
      <c r="H78" s="23">
        <v>411</v>
      </c>
      <c r="I78" s="24">
        <v>411</v>
      </c>
      <c r="J78" s="15">
        <f t="shared" si="3"/>
        <v>411</v>
      </c>
      <c r="K78" s="15">
        <f t="shared" si="4"/>
        <v>414</v>
      </c>
      <c r="L78" s="22" t="str">
        <f t="shared" si="5"/>
        <v>3N-2416</v>
      </c>
      <c r="M78" s="25" t="s">
        <v>64</v>
      </c>
      <c r="N78" s="1">
        <v>411</v>
      </c>
      <c r="O78" s="1">
        <v>410</v>
      </c>
    </row>
    <row r="79" spans="1:15" ht="21">
      <c r="A79" s="20"/>
      <c r="B79" s="32"/>
      <c r="C79" s="28" t="s">
        <v>41</v>
      </c>
      <c r="D79" s="22">
        <v>3</v>
      </c>
      <c r="E79" s="22" t="s">
        <v>65</v>
      </c>
      <c r="F79" s="22" t="s">
        <v>66</v>
      </c>
      <c r="G79" s="22">
        <v>22</v>
      </c>
      <c r="H79" s="23">
        <v>205</v>
      </c>
      <c r="I79" s="24">
        <v>205</v>
      </c>
      <c r="J79" s="15">
        <f t="shared" si="3"/>
        <v>205</v>
      </c>
      <c r="K79" s="15">
        <f t="shared" si="4"/>
        <v>208</v>
      </c>
      <c r="L79" s="22" t="str">
        <f t="shared" si="5"/>
        <v>3NI-2422</v>
      </c>
      <c r="M79" s="25" t="s">
        <v>67</v>
      </c>
      <c r="N79" s="1">
        <v>205</v>
      </c>
      <c r="O79" s="1">
        <v>200</v>
      </c>
    </row>
    <row r="80" spans="1:15" ht="21">
      <c r="A80" s="20"/>
      <c r="B80" s="32"/>
      <c r="C80" s="28"/>
      <c r="D80" s="22">
        <v>3</v>
      </c>
      <c r="E80" s="22" t="s">
        <v>65</v>
      </c>
      <c r="F80" s="22" t="s">
        <v>66</v>
      </c>
      <c r="G80" s="22">
        <v>20</v>
      </c>
      <c r="H80" s="23">
        <v>248</v>
      </c>
      <c r="I80" s="24">
        <v>248</v>
      </c>
      <c r="J80" s="15">
        <f t="shared" si="3"/>
        <v>248</v>
      </c>
      <c r="K80" s="15">
        <f t="shared" si="4"/>
        <v>251</v>
      </c>
      <c r="L80" s="22" t="str">
        <f t="shared" si="5"/>
        <v>3NI-2420</v>
      </c>
      <c r="M80" s="25" t="s">
        <v>67</v>
      </c>
      <c r="N80" s="1">
        <v>248</v>
      </c>
      <c r="O80" s="1">
        <v>240</v>
      </c>
    </row>
    <row r="81" spans="1:15" ht="21">
      <c r="A81" s="20"/>
      <c r="B81" s="32"/>
      <c r="C81" s="28"/>
      <c r="D81" s="22">
        <v>3</v>
      </c>
      <c r="E81" s="22" t="s">
        <v>65</v>
      </c>
      <c r="F81" s="22" t="s">
        <v>66</v>
      </c>
      <c r="G81" s="22">
        <v>18</v>
      </c>
      <c r="H81" s="23">
        <v>325</v>
      </c>
      <c r="I81" s="24">
        <v>325</v>
      </c>
      <c r="J81" s="15">
        <f t="shared" si="3"/>
        <v>325</v>
      </c>
      <c r="K81" s="15">
        <f t="shared" si="4"/>
        <v>328</v>
      </c>
      <c r="L81" s="22" t="str">
        <f t="shared" si="5"/>
        <v>3NI-2418</v>
      </c>
      <c r="M81" s="25" t="s">
        <v>67</v>
      </c>
      <c r="N81" s="1">
        <v>325</v>
      </c>
      <c r="O81" s="1">
        <v>320</v>
      </c>
    </row>
    <row r="82" spans="1:15" ht="21">
      <c r="A82" s="20"/>
      <c r="B82" s="32"/>
      <c r="C82" s="28"/>
      <c r="D82" s="22">
        <v>3</v>
      </c>
      <c r="E82" s="22" t="s">
        <v>65</v>
      </c>
      <c r="F82" s="22" t="s">
        <v>66</v>
      </c>
      <c r="G82" s="22">
        <v>16</v>
      </c>
      <c r="H82" s="23">
        <v>411</v>
      </c>
      <c r="I82" s="24">
        <v>411</v>
      </c>
      <c r="J82" s="15">
        <f t="shared" si="3"/>
        <v>411</v>
      </c>
      <c r="K82" s="15">
        <f t="shared" si="4"/>
        <v>414</v>
      </c>
      <c r="L82" s="22" t="str">
        <f t="shared" si="5"/>
        <v>3NI-2416</v>
      </c>
      <c r="M82" s="25" t="s">
        <v>67</v>
      </c>
      <c r="N82" s="1">
        <v>411</v>
      </c>
      <c r="O82" s="1">
        <v>410</v>
      </c>
    </row>
    <row r="83" spans="1:15" ht="21">
      <c r="A83" s="20"/>
      <c r="B83" s="32"/>
      <c r="C83" s="34" t="s">
        <v>44</v>
      </c>
      <c r="D83" s="22">
        <v>3</v>
      </c>
      <c r="E83" s="22" t="s">
        <v>68</v>
      </c>
      <c r="F83" s="22" t="s">
        <v>69</v>
      </c>
      <c r="G83" s="22">
        <v>22</v>
      </c>
      <c r="H83" s="23">
        <v>207</v>
      </c>
      <c r="I83" s="24">
        <v>207</v>
      </c>
      <c r="J83" s="15">
        <f t="shared" si="3"/>
        <v>207</v>
      </c>
      <c r="K83" s="15">
        <f t="shared" si="4"/>
        <v>210</v>
      </c>
      <c r="L83" s="22" t="str">
        <f t="shared" si="5"/>
        <v>3NA-2422</v>
      </c>
      <c r="M83" s="25" t="s">
        <v>70</v>
      </c>
      <c r="N83" s="1">
        <v>205</v>
      </c>
      <c r="O83" s="1">
        <v>200</v>
      </c>
    </row>
    <row r="84" spans="1:15" ht="21">
      <c r="A84" s="20"/>
      <c r="B84" s="32"/>
      <c r="C84" s="34"/>
      <c r="D84" s="22">
        <v>3</v>
      </c>
      <c r="E84" s="22" t="s">
        <v>68</v>
      </c>
      <c r="F84" s="22" t="s">
        <v>69</v>
      </c>
      <c r="G84" s="22">
        <v>20</v>
      </c>
      <c r="H84" s="23">
        <v>250</v>
      </c>
      <c r="I84" s="24">
        <v>250</v>
      </c>
      <c r="J84" s="15">
        <f t="shared" ref="J84:J147" si="6">IF(OR(ISNUMBER(SEARCH("cellular", M84)), ISNUMBER(SEARCH("dovetail", M84))), 0, IF(OR(ISNUMBER(SEARCH("acoustical", M84)), ISNUMBER(SEARCH("vented", M84))), N80 + 2, N80))</f>
        <v>250</v>
      </c>
      <c r="K84" s="15">
        <f t="shared" si="4"/>
        <v>253</v>
      </c>
      <c r="L84" s="22" t="str">
        <f t="shared" si="5"/>
        <v>3NA-2420</v>
      </c>
      <c r="M84" s="25" t="s">
        <v>70</v>
      </c>
      <c r="N84" s="1">
        <v>248</v>
      </c>
      <c r="O84" s="1">
        <v>240</v>
      </c>
    </row>
    <row r="85" spans="1:15" ht="21">
      <c r="A85" s="20"/>
      <c r="B85" s="32"/>
      <c r="C85" s="34"/>
      <c r="D85" s="22">
        <v>3</v>
      </c>
      <c r="E85" s="22" t="s">
        <v>68</v>
      </c>
      <c r="F85" s="22" t="s">
        <v>69</v>
      </c>
      <c r="G85" s="22">
        <v>18</v>
      </c>
      <c r="H85" s="23">
        <v>327</v>
      </c>
      <c r="I85" s="24">
        <v>327</v>
      </c>
      <c r="J85" s="15">
        <f t="shared" si="6"/>
        <v>327</v>
      </c>
      <c r="K85" s="15">
        <f t="shared" si="4"/>
        <v>330</v>
      </c>
      <c r="L85" s="22" t="str">
        <f t="shared" si="5"/>
        <v>3NA-2418</v>
      </c>
      <c r="M85" s="25" t="s">
        <v>70</v>
      </c>
      <c r="N85" s="1">
        <v>325</v>
      </c>
      <c r="O85" s="1">
        <v>320</v>
      </c>
    </row>
    <row r="86" spans="1:15" ht="21">
      <c r="A86" s="20"/>
      <c r="B86" s="32"/>
      <c r="C86" s="34"/>
      <c r="D86" s="22">
        <v>3</v>
      </c>
      <c r="E86" s="22" t="s">
        <v>68</v>
      </c>
      <c r="F86" s="22" t="s">
        <v>69</v>
      </c>
      <c r="G86" s="22">
        <v>16</v>
      </c>
      <c r="H86" s="23">
        <v>413</v>
      </c>
      <c r="I86" s="24">
        <v>413</v>
      </c>
      <c r="J86" s="15">
        <f t="shared" si="6"/>
        <v>413</v>
      </c>
      <c r="K86" s="15">
        <f t="shared" si="4"/>
        <v>416</v>
      </c>
      <c r="L86" s="22" t="str">
        <f t="shared" si="5"/>
        <v>3NA-2416</v>
      </c>
      <c r="M86" s="25" t="s">
        <v>70</v>
      </c>
      <c r="N86" s="1">
        <v>411</v>
      </c>
      <c r="O86" s="1">
        <v>410</v>
      </c>
    </row>
    <row r="87" spans="1:15" ht="21">
      <c r="A87" s="20"/>
      <c r="B87" s="32"/>
      <c r="C87" s="31" t="s">
        <v>47</v>
      </c>
      <c r="D87" s="22">
        <v>3</v>
      </c>
      <c r="E87" s="22" t="s">
        <v>71</v>
      </c>
      <c r="F87" s="22" t="s">
        <v>72</v>
      </c>
      <c r="G87" s="22">
        <v>22</v>
      </c>
      <c r="H87" s="23">
        <v>207</v>
      </c>
      <c r="I87" s="24">
        <v>207</v>
      </c>
      <c r="J87" s="15">
        <f t="shared" si="6"/>
        <v>207</v>
      </c>
      <c r="K87" s="15">
        <f t="shared" si="4"/>
        <v>210</v>
      </c>
      <c r="L87" s="22" t="str">
        <f t="shared" si="5"/>
        <v>3NIA-2422</v>
      </c>
      <c r="M87" s="25" t="s">
        <v>73</v>
      </c>
      <c r="N87" s="1">
        <f>ROUNDUP(O87 * (1 + LOOKUP(MIN(VALUE(LEFT(G91,FIND("/",G91&amp;"/")-1)), VALUE(MID(G91,FIND("/",G91)+1, LEN(G91)))), {16,18,19,20,22,24,26,28}, {0.0143,0.0229,0.0307,0.0363,0.0338,0.03,0.0193,0.0026})), 0)</f>
        <v>512</v>
      </c>
      <c r="O87" s="1">
        <v>500</v>
      </c>
    </row>
    <row r="88" spans="1:15" ht="21">
      <c r="A88" s="20"/>
      <c r="B88" s="32"/>
      <c r="C88" s="31"/>
      <c r="D88" s="22">
        <v>3</v>
      </c>
      <c r="E88" s="22" t="s">
        <v>71</v>
      </c>
      <c r="F88" s="22" t="s">
        <v>72</v>
      </c>
      <c r="G88" s="22">
        <v>20</v>
      </c>
      <c r="H88" s="23">
        <v>250</v>
      </c>
      <c r="I88" s="24">
        <v>250</v>
      </c>
      <c r="J88" s="15">
        <f t="shared" si="6"/>
        <v>250</v>
      </c>
      <c r="K88" s="15">
        <f t="shared" si="4"/>
        <v>253</v>
      </c>
      <c r="L88" s="22" t="str">
        <f t="shared" si="5"/>
        <v>3NIA-2420</v>
      </c>
      <c r="M88" s="25" t="s">
        <v>73</v>
      </c>
      <c r="N88" s="1">
        <f>ROUNDUP(O88 * (1 + LOOKUP(MIN(VALUE(LEFT(G92,FIND("/",G92&amp;"/")-1)), VALUE(MID(G92,FIND("/",G92)+1, LEN(G92)))), {16,18,19,20,22,24,26,28}, {0.0143,0.0229,0.0307,0.0363,0.0338,0.03,0.0193,0.0026})), 0)</f>
        <v>512</v>
      </c>
      <c r="O88" s="1">
        <v>500</v>
      </c>
    </row>
    <row r="89" spans="1:15" ht="21">
      <c r="A89" s="20"/>
      <c r="B89" s="32"/>
      <c r="C89" s="31"/>
      <c r="D89" s="22">
        <v>3</v>
      </c>
      <c r="E89" s="22" t="s">
        <v>71</v>
      </c>
      <c r="F89" s="22" t="s">
        <v>72</v>
      </c>
      <c r="G89" s="22">
        <v>18</v>
      </c>
      <c r="H89" s="23">
        <v>327</v>
      </c>
      <c r="I89" s="24">
        <v>327</v>
      </c>
      <c r="J89" s="15">
        <f t="shared" si="6"/>
        <v>327</v>
      </c>
      <c r="K89" s="15">
        <f t="shared" si="4"/>
        <v>330</v>
      </c>
      <c r="L89" s="22" t="str">
        <f t="shared" si="5"/>
        <v>3NIA-2418</v>
      </c>
      <c r="M89" s="25" t="s">
        <v>73</v>
      </c>
      <c r="N89" s="1">
        <f>ROUNDUP(O89 * (1 + LOOKUP(MIN(VALUE(LEFT(G93,FIND("/",G93&amp;"/")-1)), VALUE(MID(G93,FIND("/",G93)+1, LEN(G93)))), {16,18,19,20,22,24,26,28}, {0.0143,0.0229,0.0307,0.0363,0.0338,0.03,0.0193,0.0026})), 0)</f>
        <v>609</v>
      </c>
      <c r="O89" s="1">
        <v>600</v>
      </c>
    </row>
    <row r="90" spans="1:15" ht="21">
      <c r="A90" s="20"/>
      <c r="B90" s="32"/>
      <c r="C90" s="31"/>
      <c r="D90" s="22">
        <v>3</v>
      </c>
      <c r="E90" s="22" t="s">
        <v>71</v>
      </c>
      <c r="F90" s="22" t="s">
        <v>72</v>
      </c>
      <c r="G90" s="22">
        <v>16</v>
      </c>
      <c r="H90" s="23">
        <v>413</v>
      </c>
      <c r="I90" s="24">
        <v>413</v>
      </c>
      <c r="J90" s="15">
        <f t="shared" si="6"/>
        <v>413</v>
      </c>
      <c r="K90" s="15">
        <f t="shared" si="4"/>
        <v>416</v>
      </c>
      <c r="L90" s="22" t="str">
        <f t="shared" si="5"/>
        <v>3NIA-2416</v>
      </c>
      <c r="M90" s="25" t="s">
        <v>73</v>
      </c>
      <c r="N90" s="1">
        <f>ROUNDUP(O90 * (1 + LOOKUP(MIN(VALUE(LEFT(G94,FIND("/",G94&amp;"/")-1)), VALUE(MID(G94,FIND("/",G94)+1, LEN(G94)))), {16,18,19,20,22,24,26,28}, {0.0143,0.0229,0.0307,0.0363,0.0338,0.03,0.0193,0.0026})), 0)</f>
        <v>660</v>
      </c>
      <c r="O90" s="1">
        <v>650</v>
      </c>
    </row>
    <row r="91" spans="1:15" ht="21">
      <c r="A91" s="20"/>
      <c r="B91" s="32"/>
      <c r="C91" s="34" t="s">
        <v>50</v>
      </c>
      <c r="D91" s="22">
        <v>3</v>
      </c>
      <c r="E91" s="22" t="s">
        <v>74</v>
      </c>
      <c r="F91" s="22" t="s">
        <v>75</v>
      </c>
      <c r="G91" s="22" t="s">
        <v>53</v>
      </c>
      <c r="H91" s="23">
        <v>0</v>
      </c>
      <c r="I91" s="24">
        <v>0</v>
      </c>
      <c r="J91" s="15">
        <f t="shared" si="6"/>
        <v>0</v>
      </c>
      <c r="K91" s="15">
        <f t="shared" si="4"/>
        <v>0</v>
      </c>
      <c r="L91" s="22" t="str">
        <f t="shared" si="5"/>
        <v>3NP-2420/18</v>
      </c>
      <c r="M91" s="25" t="s">
        <v>76</v>
      </c>
      <c r="N91" s="1">
        <f>ROUNDUP(O91 * (1 + LOOKUP(G95, {16,18,19,20,22,24,26,28}, {0.0143,0.0229,0.0307,0.0363,0.0338,0.03,0.0193,0.0026})), 0)</f>
        <v>467</v>
      </c>
      <c r="O91" s="1">
        <v>450</v>
      </c>
    </row>
    <row r="92" spans="1:15" ht="21">
      <c r="A92" s="20"/>
      <c r="B92" s="32"/>
      <c r="C92" s="34"/>
      <c r="D92" s="22">
        <v>3</v>
      </c>
      <c r="E92" s="22" t="s">
        <v>74</v>
      </c>
      <c r="F92" s="22" t="s">
        <v>75</v>
      </c>
      <c r="G92" s="22" t="s">
        <v>55</v>
      </c>
      <c r="H92" s="23">
        <v>0</v>
      </c>
      <c r="I92" s="24">
        <v>0</v>
      </c>
      <c r="J92" s="15">
        <f t="shared" si="6"/>
        <v>0</v>
      </c>
      <c r="K92" s="15">
        <f t="shared" si="4"/>
        <v>0</v>
      </c>
      <c r="L92" s="22" t="str">
        <f t="shared" si="5"/>
        <v>3NP-2418/20</v>
      </c>
      <c r="M92" s="25" t="s">
        <v>76</v>
      </c>
      <c r="N92" s="1">
        <f>ROUNDUP(O92 * (1 + LOOKUP(G96, {16,18,19,20,22,24,26,28}, {0.0143,0.0229,0.0307,0.0363,0.0338,0.03,0.0193,0.0026})), 0)</f>
        <v>563</v>
      </c>
      <c r="O92" s="1">
        <v>550</v>
      </c>
    </row>
    <row r="93" spans="1:15" ht="21">
      <c r="A93" s="20"/>
      <c r="B93" s="32"/>
      <c r="C93" s="34"/>
      <c r="D93" s="22">
        <v>3</v>
      </c>
      <c r="E93" s="22" t="s">
        <v>74</v>
      </c>
      <c r="F93" s="22" t="s">
        <v>75</v>
      </c>
      <c r="G93" s="22" t="s">
        <v>56</v>
      </c>
      <c r="H93" s="23">
        <v>0</v>
      </c>
      <c r="I93" s="24">
        <v>0</v>
      </c>
      <c r="J93" s="15">
        <f t="shared" si="6"/>
        <v>0</v>
      </c>
      <c r="K93" s="15">
        <f t="shared" si="4"/>
        <v>0</v>
      </c>
      <c r="L93" s="22" t="str">
        <f t="shared" si="5"/>
        <v>3NP-2418/16</v>
      </c>
      <c r="M93" s="25" t="s">
        <v>76</v>
      </c>
      <c r="N93" s="1">
        <f>ROUNDUP(O93 * (1 + LOOKUP(G97, {16,18,19,20,22,24,26,28}, {0.0143,0.0229,0.0307,0.0363,0.0338,0.03,0.0193,0.0026})), 0)</f>
        <v>711</v>
      </c>
      <c r="O93" s="1">
        <v>700</v>
      </c>
    </row>
    <row r="94" spans="1:15" ht="21">
      <c r="A94" s="20"/>
      <c r="B94" s="32"/>
      <c r="C94" s="34"/>
      <c r="D94" s="22">
        <v>3</v>
      </c>
      <c r="E94" s="22" t="s">
        <v>74</v>
      </c>
      <c r="F94" s="22" t="s">
        <v>75</v>
      </c>
      <c r="G94" s="22" t="s">
        <v>57</v>
      </c>
      <c r="H94" s="23">
        <v>0</v>
      </c>
      <c r="I94" s="24">
        <v>0</v>
      </c>
      <c r="J94" s="15">
        <f t="shared" si="6"/>
        <v>0</v>
      </c>
      <c r="K94" s="15">
        <f t="shared" si="4"/>
        <v>0</v>
      </c>
      <c r="L94" s="22" t="str">
        <f t="shared" si="5"/>
        <v>3NP-2416/18</v>
      </c>
      <c r="M94" s="25" t="s">
        <v>76</v>
      </c>
      <c r="N94" s="1">
        <f>ROUNDUP(O94 * (1 + LOOKUP(MIN(VALUE(LEFT(G98,FIND("/",G98&amp;"/")-1)), VALUE(MID(G98,FIND("/",G98)+1, LEN(G98)))), {16,18,19,20,22,24,26,28}, {0.0143,0.0229,0.0307,0.0363,0.0338,0.03,0.0193,0.0026})), 0)</f>
        <v>512</v>
      </c>
      <c r="O94" s="1">
        <v>500</v>
      </c>
    </row>
    <row r="95" spans="1:15" ht="21">
      <c r="A95" s="20"/>
      <c r="B95" s="32"/>
      <c r="C95" s="34"/>
      <c r="D95" s="22">
        <v>3</v>
      </c>
      <c r="E95" s="22" t="s">
        <v>74</v>
      </c>
      <c r="F95" s="22" t="s">
        <v>75</v>
      </c>
      <c r="G95" s="22">
        <v>20</v>
      </c>
      <c r="H95" s="23">
        <v>0</v>
      </c>
      <c r="I95" s="24">
        <v>0</v>
      </c>
      <c r="J95" s="15">
        <f t="shared" si="6"/>
        <v>0</v>
      </c>
      <c r="K95" s="15">
        <f t="shared" si="4"/>
        <v>0</v>
      </c>
      <c r="L95" s="22" t="str">
        <f t="shared" si="5"/>
        <v>3NP-2420</v>
      </c>
      <c r="M95" s="25" t="s">
        <v>76</v>
      </c>
      <c r="N95" s="1">
        <f>ROUNDUP(O95 * (1 + LOOKUP(MIN(VALUE(LEFT(G99,FIND("/",G99&amp;"/")-1)), VALUE(MID(G99,FIND("/",G99)+1, LEN(G99)))), {16,18,19,20,22,24,26,28}, {0.0143,0.0229,0.0307,0.0363,0.0338,0.03,0.0193,0.0026})), 0)</f>
        <v>512</v>
      </c>
      <c r="O95" s="1">
        <v>500</v>
      </c>
    </row>
    <row r="96" spans="1:15" ht="21">
      <c r="A96" s="20"/>
      <c r="B96" s="32"/>
      <c r="C96" s="34"/>
      <c r="D96" s="22">
        <v>3</v>
      </c>
      <c r="E96" s="22" t="s">
        <v>74</v>
      </c>
      <c r="F96" s="22" t="s">
        <v>75</v>
      </c>
      <c r="G96" s="22">
        <v>18</v>
      </c>
      <c r="H96" s="23">
        <v>0</v>
      </c>
      <c r="I96" s="24">
        <v>0</v>
      </c>
      <c r="J96" s="15">
        <f t="shared" si="6"/>
        <v>0</v>
      </c>
      <c r="K96" s="15">
        <f t="shared" si="4"/>
        <v>0</v>
      </c>
      <c r="L96" s="22" t="str">
        <f t="shared" si="5"/>
        <v>3NP-2418</v>
      </c>
      <c r="M96" s="25" t="s">
        <v>76</v>
      </c>
      <c r="N96" s="1">
        <f>ROUNDUP(O96 * (1 + LOOKUP(MIN(VALUE(LEFT(G100,FIND("/",G100&amp;"/")-1)), VALUE(MID(G100,FIND("/",G100)+1, LEN(G100)))), {16,18,19,20,22,24,26,28}, {0.0143,0.0229,0.0307,0.0363,0.0338,0.03,0.0193,0.0026})), 0)</f>
        <v>609</v>
      </c>
      <c r="O96" s="1">
        <v>600</v>
      </c>
    </row>
    <row r="97" spans="1:15" ht="21">
      <c r="A97" s="20"/>
      <c r="B97" s="32"/>
      <c r="C97" s="34"/>
      <c r="D97" s="22">
        <v>3</v>
      </c>
      <c r="E97" s="22" t="s">
        <v>74</v>
      </c>
      <c r="F97" s="22" t="s">
        <v>75</v>
      </c>
      <c r="G97" s="22">
        <v>16</v>
      </c>
      <c r="H97" s="23">
        <v>0</v>
      </c>
      <c r="I97" s="24">
        <v>0</v>
      </c>
      <c r="J97" s="15">
        <f t="shared" si="6"/>
        <v>0</v>
      </c>
      <c r="K97" s="15">
        <f t="shared" si="4"/>
        <v>0</v>
      </c>
      <c r="L97" s="22" t="str">
        <f t="shared" si="5"/>
        <v>3NP-2416</v>
      </c>
      <c r="M97" s="25" t="s">
        <v>76</v>
      </c>
      <c r="N97" s="1">
        <f>ROUNDUP(O97 * (1 + LOOKUP(MIN(VALUE(LEFT(G101,FIND("/",G101&amp;"/")-1)), VALUE(MID(G101,FIND("/",G101)+1, LEN(G101)))), {16,18,19,20,22,24,26,28}, {0.0143,0.0229,0.0307,0.0363,0.0338,0.03,0.0193,0.0026})), 0)</f>
        <v>660</v>
      </c>
      <c r="O97" s="1">
        <v>650</v>
      </c>
    </row>
    <row r="98" spans="1:15" ht="21">
      <c r="A98" s="20"/>
      <c r="B98" s="32"/>
      <c r="C98" s="35" t="s">
        <v>58</v>
      </c>
      <c r="D98" s="22">
        <v>3</v>
      </c>
      <c r="E98" s="22" t="s">
        <v>77</v>
      </c>
      <c r="F98" s="22" t="s">
        <v>78</v>
      </c>
      <c r="G98" s="22" t="s">
        <v>53</v>
      </c>
      <c r="H98" s="23">
        <v>0</v>
      </c>
      <c r="I98" s="24">
        <v>0</v>
      </c>
      <c r="J98" s="15">
        <f t="shared" si="6"/>
        <v>0</v>
      </c>
      <c r="K98" s="15">
        <f t="shared" si="4"/>
        <v>0</v>
      </c>
      <c r="L98" s="22" t="str">
        <f t="shared" si="5"/>
        <v>3NPA-2420/18</v>
      </c>
      <c r="M98" s="25" t="s">
        <v>79</v>
      </c>
      <c r="N98" s="1">
        <f>ROUNDUP(O98 * (1 + LOOKUP(G102, {16,18,19,20,22,24,26,28}, {0.0143,0.0229,0.0307,0.0363,0.0338,0.03,0.0193,0.0026})), 0)</f>
        <v>467</v>
      </c>
      <c r="O98" s="1">
        <v>450</v>
      </c>
    </row>
    <row r="99" spans="1:15" ht="21">
      <c r="A99" s="20"/>
      <c r="B99" s="32"/>
      <c r="C99" s="35"/>
      <c r="D99" s="22">
        <v>3</v>
      </c>
      <c r="E99" s="22" t="s">
        <v>77</v>
      </c>
      <c r="F99" s="22" t="s">
        <v>78</v>
      </c>
      <c r="G99" s="22" t="s">
        <v>55</v>
      </c>
      <c r="H99" s="23">
        <v>0</v>
      </c>
      <c r="I99" s="24">
        <v>0</v>
      </c>
      <c r="J99" s="15">
        <f t="shared" si="6"/>
        <v>0</v>
      </c>
      <c r="K99" s="15">
        <f t="shared" si="4"/>
        <v>0</v>
      </c>
      <c r="L99" s="22" t="str">
        <f t="shared" si="5"/>
        <v>3NPA-2418/20</v>
      </c>
      <c r="M99" s="25" t="s">
        <v>79</v>
      </c>
      <c r="N99" s="1">
        <f>ROUNDUP(O99 * (1 + LOOKUP(G103, {16,18,19,20,22,24,26,28}, {0.0143,0.0229,0.0307,0.0363,0.0338,0.03,0.0193,0.0026})), 0)</f>
        <v>563</v>
      </c>
      <c r="O99" s="1">
        <v>550</v>
      </c>
    </row>
    <row r="100" spans="1:15" ht="21">
      <c r="A100" s="20"/>
      <c r="B100" s="32"/>
      <c r="C100" s="35"/>
      <c r="D100" s="22">
        <v>3</v>
      </c>
      <c r="E100" s="22" t="s">
        <v>77</v>
      </c>
      <c r="F100" s="22" t="s">
        <v>78</v>
      </c>
      <c r="G100" s="22" t="s">
        <v>56</v>
      </c>
      <c r="H100" s="23">
        <v>0</v>
      </c>
      <c r="I100" s="24">
        <v>0</v>
      </c>
      <c r="J100" s="15">
        <f t="shared" si="6"/>
        <v>0</v>
      </c>
      <c r="K100" s="15">
        <f t="shared" si="4"/>
        <v>0</v>
      </c>
      <c r="L100" s="22" t="str">
        <f t="shared" si="5"/>
        <v>3NPA-2418/16</v>
      </c>
      <c r="M100" s="25" t="s">
        <v>79</v>
      </c>
      <c r="N100" s="1">
        <f>ROUNDUP(O100 * (1 + LOOKUP(G104, {16,18,19,20,22,24,26,28}, {0.0143,0.0229,0.0307,0.0363,0.0338,0.03,0.0193,0.0026})), 0)</f>
        <v>711</v>
      </c>
      <c r="O100" s="1">
        <v>700</v>
      </c>
    </row>
    <row r="101" spans="1:15" ht="21">
      <c r="A101" s="20"/>
      <c r="B101" s="32"/>
      <c r="C101" s="35"/>
      <c r="D101" s="22">
        <v>3</v>
      </c>
      <c r="E101" s="22" t="s">
        <v>77</v>
      </c>
      <c r="F101" s="22" t="s">
        <v>78</v>
      </c>
      <c r="G101" s="22" t="s">
        <v>57</v>
      </c>
      <c r="H101" s="23">
        <v>0</v>
      </c>
      <c r="I101" s="24">
        <v>0</v>
      </c>
      <c r="J101" s="15">
        <f t="shared" si="6"/>
        <v>0</v>
      </c>
      <c r="K101" s="15">
        <f t="shared" si="4"/>
        <v>0</v>
      </c>
      <c r="L101" s="22" t="str">
        <f t="shared" si="5"/>
        <v>3NPA-2416/18</v>
      </c>
      <c r="M101" s="25" t="s">
        <v>79</v>
      </c>
      <c r="N101" s="1">
        <v>195</v>
      </c>
      <c r="O101" s="1">
        <v>200</v>
      </c>
    </row>
    <row r="102" spans="1:15" ht="21">
      <c r="A102" s="20"/>
      <c r="B102" s="32"/>
      <c r="C102" s="35"/>
      <c r="D102" s="22">
        <v>3</v>
      </c>
      <c r="E102" s="22" t="s">
        <v>77</v>
      </c>
      <c r="F102" s="22" t="s">
        <v>78</v>
      </c>
      <c r="G102" s="22">
        <v>20</v>
      </c>
      <c r="H102" s="23">
        <v>0</v>
      </c>
      <c r="I102" s="24">
        <v>0</v>
      </c>
      <c r="J102" s="15">
        <f t="shared" si="6"/>
        <v>0</v>
      </c>
      <c r="K102" s="15">
        <f t="shared" si="4"/>
        <v>0</v>
      </c>
      <c r="L102" s="22" t="str">
        <f t="shared" si="5"/>
        <v>3NPA-2420</v>
      </c>
      <c r="M102" s="25" t="s">
        <v>79</v>
      </c>
      <c r="N102" s="1">
        <v>235</v>
      </c>
      <c r="O102" s="1">
        <v>240</v>
      </c>
    </row>
    <row r="103" spans="1:15" ht="21">
      <c r="A103" s="20"/>
      <c r="B103" s="32"/>
      <c r="C103" s="35"/>
      <c r="D103" s="22">
        <v>3</v>
      </c>
      <c r="E103" s="22" t="s">
        <v>77</v>
      </c>
      <c r="F103" s="22" t="s">
        <v>78</v>
      </c>
      <c r="G103" s="22">
        <v>18</v>
      </c>
      <c r="H103" s="23">
        <v>0</v>
      </c>
      <c r="I103" s="24">
        <v>0</v>
      </c>
      <c r="J103" s="15">
        <f t="shared" si="6"/>
        <v>0</v>
      </c>
      <c r="K103" s="15">
        <f t="shared" si="4"/>
        <v>0</v>
      </c>
      <c r="L103" s="22" t="str">
        <f t="shared" si="5"/>
        <v>3NPA-2418</v>
      </c>
      <c r="M103" s="25" t="s">
        <v>79</v>
      </c>
      <c r="N103" s="1">
        <v>309</v>
      </c>
      <c r="O103" s="1">
        <v>320</v>
      </c>
    </row>
    <row r="104" spans="1:15" ht="21">
      <c r="A104" s="20"/>
      <c r="B104" s="32"/>
      <c r="C104" s="35"/>
      <c r="D104" s="22">
        <v>3</v>
      </c>
      <c r="E104" s="22" t="s">
        <v>77</v>
      </c>
      <c r="F104" s="22" t="s">
        <v>78</v>
      </c>
      <c r="G104" s="22">
        <v>16</v>
      </c>
      <c r="H104" s="23">
        <v>0</v>
      </c>
      <c r="I104" s="24">
        <v>0</v>
      </c>
      <c r="J104" s="15">
        <f t="shared" si="6"/>
        <v>0</v>
      </c>
      <c r="K104" s="15">
        <f t="shared" si="4"/>
        <v>0</v>
      </c>
      <c r="L104" s="22" t="str">
        <f t="shared" si="5"/>
        <v>3NPA-2416</v>
      </c>
      <c r="M104" s="25" t="s">
        <v>79</v>
      </c>
      <c r="N104" s="1">
        <v>390</v>
      </c>
      <c r="O104" s="1">
        <v>410</v>
      </c>
    </row>
    <row r="105" spans="1:15" ht="21">
      <c r="A105" s="20"/>
      <c r="B105" s="36" t="s">
        <v>80</v>
      </c>
      <c r="C105" s="37" t="s">
        <v>15</v>
      </c>
      <c r="D105" s="22">
        <v>3</v>
      </c>
      <c r="E105" s="22" t="s">
        <v>81</v>
      </c>
      <c r="F105" s="22" t="s">
        <v>82</v>
      </c>
      <c r="G105" s="22">
        <v>22</v>
      </c>
      <c r="H105" s="23">
        <v>195</v>
      </c>
      <c r="I105" s="24">
        <v>195</v>
      </c>
      <c r="J105" s="15">
        <f t="shared" si="6"/>
        <v>195</v>
      </c>
      <c r="K105" s="15">
        <f t="shared" si="4"/>
        <v>198</v>
      </c>
      <c r="L105" s="22" t="str">
        <f t="shared" si="5"/>
        <v>3NL-3222</v>
      </c>
      <c r="M105" s="25" t="s">
        <v>83</v>
      </c>
      <c r="N105" s="1">
        <v>195</v>
      </c>
      <c r="O105" s="1">
        <v>200</v>
      </c>
    </row>
    <row r="106" spans="1:15" ht="21">
      <c r="A106" s="20"/>
      <c r="B106" s="36"/>
      <c r="C106" s="37"/>
      <c r="D106" s="22">
        <v>3</v>
      </c>
      <c r="E106" s="22" t="s">
        <v>81</v>
      </c>
      <c r="F106" s="22" t="s">
        <v>82</v>
      </c>
      <c r="G106" s="22">
        <v>20</v>
      </c>
      <c r="H106" s="23">
        <v>235</v>
      </c>
      <c r="I106" s="24">
        <v>235</v>
      </c>
      <c r="J106" s="15">
        <f t="shared" si="6"/>
        <v>235</v>
      </c>
      <c r="K106" s="15">
        <f t="shared" si="4"/>
        <v>238</v>
      </c>
      <c r="L106" s="22" t="str">
        <f t="shared" si="5"/>
        <v>3NL-3220</v>
      </c>
      <c r="M106" s="25" t="s">
        <v>83</v>
      </c>
      <c r="N106" s="1">
        <v>235</v>
      </c>
      <c r="O106" s="1">
        <v>240</v>
      </c>
    </row>
    <row r="107" spans="1:15" ht="21">
      <c r="A107" s="20"/>
      <c r="B107" s="36"/>
      <c r="C107" s="37"/>
      <c r="D107" s="22">
        <v>3</v>
      </c>
      <c r="E107" s="22" t="s">
        <v>81</v>
      </c>
      <c r="F107" s="22" t="s">
        <v>82</v>
      </c>
      <c r="G107" s="22">
        <v>18</v>
      </c>
      <c r="H107" s="23">
        <v>309</v>
      </c>
      <c r="I107" s="24">
        <v>309</v>
      </c>
      <c r="J107" s="15">
        <f t="shared" si="6"/>
        <v>309</v>
      </c>
      <c r="K107" s="15">
        <f t="shared" si="4"/>
        <v>312</v>
      </c>
      <c r="L107" s="22" t="str">
        <f t="shared" si="5"/>
        <v>3NL-3218</v>
      </c>
      <c r="M107" s="25" t="s">
        <v>83</v>
      </c>
      <c r="N107" s="1">
        <v>309</v>
      </c>
      <c r="O107" s="1">
        <v>320</v>
      </c>
    </row>
    <row r="108" spans="1:15" ht="21">
      <c r="A108" s="20"/>
      <c r="B108" s="36"/>
      <c r="C108" s="37"/>
      <c r="D108" s="22">
        <v>3</v>
      </c>
      <c r="E108" s="22" t="s">
        <v>81</v>
      </c>
      <c r="F108" s="22" t="s">
        <v>82</v>
      </c>
      <c r="G108" s="22">
        <v>16</v>
      </c>
      <c r="H108" s="23">
        <v>390</v>
      </c>
      <c r="I108" s="24">
        <v>390</v>
      </c>
      <c r="J108" s="15">
        <f t="shared" si="6"/>
        <v>390</v>
      </c>
      <c r="K108" s="15">
        <f t="shared" si="4"/>
        <v>393</v>
      </c>
      <c r="L108" s="22" t="str">
        <f t="shared" si="5"/>
        <v>3NL-3216</v>
      </c>
      <c r="M108" s="25" t="s">
        <v>83</v>
      </c>
      <c r="N108" s="1">
        <v>390</v>
      </c>
      <c r="O108" s="1">
        <v>410</v>
      </c>
    </row>
    <row r="109" spans="1:15" ht="21">
      <c r="A109" s="20"/>
      <c r="B109" s="36"/>
      <c r="C109" s="38" t="s">
        <v>41</v>
      </c>
      <c r="D109" s="22">
        <v>3</v>
      </c>
      <c r="E109" s="22" t="s">
        <v>84</v>
      </c>
      <c r="F109" s="22" t="s">
        <v>85</v>
      </c>
      <c r="G109" s="22">
        <v>22</v>
      </c>
      <c r="H109" s="23">
        <v>195</v>
      </c>
      <c r="I109" s="24">
        <v>195</v>
      </c>
      <c r="J109" s="15">
        <f t="shared" si="6"/>
        <v>195</v>
      </c>
      <c r="K109" s="15">
        <f t="shared" si="4"/>
        <v>198</v>
      </c>
      <c r="L109" s="22" t="str">
        <f t="shared" si="5"/>
        <v>3NI-3222</v>
      </c>
      <c r="M109" s="25" t="s">
        <v>86</v>
      </c>
      <c r="N109" s="1">
        <v>195</v>
      </c>
      <c r="O109" s="1">
        <v>200</v>
      </c>
    </row>
    <row r="110" spans="1:15" ht="21">
      <c r="A110" s="20"/>
      <c r="B110" s="36"/>
      <c r="C110" s="38"/>
      <c r="D110" s="22">
        <v>3</v>
      </c>
      <c r="E110" s="22" t="s">
        <v>84</v>
      </c>
      <c r="F110" s="22" t="s">
        <v>85</v>
      </c>
      <c r="G110" s="22">
        <v>20</v>
      </c>
      <c r="H110" s="23">
        <v>235</v>
      </c>
      <c r="I110" s="24">
        <v>235</v>
      </c>
      <c r="J110" s="15">
        <f t="shared" si="6"/>
        <v>235</v>
      </c>
      <c r="K110" s="15">
        <f t="shared" si="4"/>
        <v>238</v>
      </c>
      <c r="L110" s="22" t="str">
        <f t="shared" si="5"/>
        <v>3NI-3220</v>
      </c>
      <c r="M110" s="25" t="s">
        <v>86</v>
      </c>
      <c r="N110" s="1">
        <v>235</v>
      </c>
      <c r="O110" s="1">
        <v>240</v>
      </c>
    </row>
    <row r="111" spans="1:15" ht="21">
      <c r="A111" s="20"/>
      <c r="B111" s="36"/>
      <c r="C111" s="38"/>
      <c r="D111" s="22">
        <v>3</v>
      </c>
      <c r="E111" s="22" t="s">
        <v>84</v>
      </c>
      <c r="F111" s="22" t="s">
        <v>85</v>
      </c>
      <c r="G111" s="22">
        <v>18</v>
      </c>
      <c r="H111" s="23">
        <v>309</v>
      </c>
      <c r="I111" s="24">
        <v>309</v>
      </c>
      <c r="J111" s="15">
        <f t="shared" si="6"/>
        <v>309</v>
      </c>
      <c r="K111" s="15">
        <f t="shared" si="4"/>
        <v>312</v>
      </c>
      <c r="L111" s="22" t="str">
        <f t="shared" si="5"/>
        <v>3NI-3218</v>
      </c>
      <c r="M111" s="25" t="s">
        <v>86</v>
      </c>
      <c r="N111" s="1">
        <v>309</v>
      </c>
      <c r="O111" s="1">
        <v>320</v>
      </c>
    </row>
    <row r="112" spans="1:15" ht="21">
      <c r="A112" s="20"/>
      <c r="B112" s="36"/>
      <c r="C112" s="38"/>
      <c r="D112" s="22">
        <v>3</v>
      </c>
      <c r="E112" s="22" t="s">
        <v>84</v>
      </c>
      <c r="F112" s="22" t="s">
        <v>85</v>
      </c>
      <c r="G112" s="22">
        <v>16</v>
      </c>
      <c r="H112" s="23">
        <v>390</v>
      </c>
      <c r="I112" s="24">
        <v>390</v>
      </c>
      <c r="J112" s="15">
        <f t="shared" si="6"/>
        <v>390</v>
      </c>
      <c r="K112" s="15">
        <f t="shared" ref="K112:K175" si="7">IF(J112=0, 0, J112+3)</f>
        <v>393</v>
      </c>
      <c r="L112" s="22" t="str">
        <f t="shared" si="5"/>
        <v>3NI-3216</v>
      </c>
      <c r="M112" s="25" t="s">
        <v>86</v>
      </c>
      <c r="N112" s="1">
        <v>390</v>
      </c>
      <c r="O112" s="1">
        <v>410</v>
      </c>
    </row>
    <row r="113" spans="1:15" ht="21">
      <c r="A113" s="20"/>
      <c r="B113" s="36"/>
      <c r="C113" s="33" t="s">
        <v>44</v>
      </c>
      <c r="D113" s="22">
        <v>3</v>
      </c>
      <c r="E113" s="22" t="s">
        <v>87</v>
      </c>
      <c r="F113" s="22" t="s">
        <v>88</v>
      </c>
      <c r="G113" s="22">
        <v>22</v>
      </c>
      <c r="H113" s="23">
        <v>197</v>
      </c>
      <c r="I113" s="24">
        <v>197</v>
      </c>
      <c r="J113" s="15">
        <f t="shared" si="6"/>
        <v>197</v>
      </c>
      <c r="K113" s="15">
        <f t="shared" si="7"/>
        <v>200</v>
      </c>
      <c r="L113" s="22" t="str">
        <f t="shared" si="5"/>
        <v>3NLA-3222</v>
      </c>
      <c r="M113" s="25" t="s">
        <v>89</v>
      </c>
      <c r="N113" s="1">
        <v>195</v>
      </c>
      <c r="O113" s="1">
        <v>200</v>
      </c>
    </row>
    <row r="114" spans="1:15" ht="21">
      <c r="A114" s="20"/>
      <c r="B114" s="36"/>
      <c r="C114" s="33"/>
      <c r="D114" s="22">
        <v>3</v>
      </c>
      <c r="E114" s="22" t="s">
        <v>87</v>
      </c>
      <c r="F114" s="22" t="s">
        <v>88</v>
      </c>
      <c r="G114" s="22">
        <v>20</v>
      </c>
      <c r="H114" s="23">
        <v>237</v>
      </c>
      <c r="I114" s="24">
        <v>237</v>
      </c>
      <c r="J114" s="15">
        <f t="shared" si="6"/>
        <v>237</v>
      </c>
      <c r="K114" s="15">
        <f t="shared" si="7"/>
        <v>240</v>
      </c>
      <c r="L114" s="22" t="str">
        <f t="shared" si="5"/>
        <v>3NLA-3220</v>
      </c>
      <c r="M114" s="25" t="s">
        <v>89</v>
      </c>
      <c r="N114" s="1">
        <v>235</v>
      </c>
      <c r="O114" s="1">
        <v>240</v>
      </c>
    </row>
    <row r="115" spans="1:15" ht="21">
      <c r="A115" s="20"/>
      <c r="B115" s="36"/>
      <c r="C115" s="33"/>
      <c r="D115" s="22">
        <v>3</v>
      </c>
      <c r="E115" s="22" t="s">
        <v>87</v>
      </c>
      <c r="F115" s="22" t="s">
        <v>88</v>
      </c>
      <c r="G115" s="22">
        <v>18</v>
      </c>
      <c r="H115" s="23">
        <v>311</v>
      </c>
      <c r="I115" s="24">
        <v>311</v>
      </c>
      <c r="J115" s="15">
        <f t="shared" si="6"/>
        <v>311</v>
      </c>
      <c r="K115" s="15">
        <f t="shared" si="7"/>
        <v>314</v>
      </c>
      <c r="L115" s="22" t="str">
        <f t="shared" si="5"/>
        <v>3NLA-3218</v>
      </c>
      <c r="M115" s="25" t="s">
        <v>89</v>
      </c>
      <c r="N115" s="1">
        <v>309</v>
      </c>
      <c r="O115" s="1">
        <v>320</v>
      </c>
    </row>
    <row r="116" spans="1:15" ht="21">
      <c r="A116" s="20"/>
      <c r="B116" s="36"/>
      <c r="C116" s="33"/>
      <c r="D116" s="22">
        <v>3</v>
      </c>
      <c r="E116" s="22" t="s">
        <v>87</v>
      </c>
      <c r="F116" s="22" t="s">
        <v>88</v>
      </c>
      <c r="G116" s="22">
        <v>16</v>
      </c>
      <c r="H116" s="23">
        <v>392</v>
      </c>
      <c r="I116" s="24">
        <v>392</v>
      </c>
      <c r="J116" s="15">
        <f t="shared" si="6"/>
        <v>392</v>
      </c>
      <c r="K116" s="15">
        <f t="shared" si="7"/>
        <v>395</v>
      </c>
      <c r="L116" s="22" t="str">
        <f t="shared" si="5"/>
        <v>3NLA-3216</v>
      </c>
      <c r="M116" s="25" t="s">
        <v>89</v>
      </c>
      <c r="N116" s="1">
        <v>390</v>
      </c>
      <c r="O116" s="1">
        <v>410</v>
      </c>
    </row>
    <row r="117" spans="1:15" ht="21">
      <c r="A117" s="20"/>
      <c r="B117" s="36"/>
      <c r="C117" s="39" t="s">
        <v>47</v>
      </c>
      <c r="D117" s="22">
        <v>3</v>
      </c>
      <c r="E117" s="22" t="s">
        <v>90</v>
      </c>
      <c r="F117" s="22" t="s">
        <v>85</v>
      </c>
      <c r="G117" s="22">
        <v>22</v>
      </c>
      <c r="H117" s="23">
        <v>197</v>
      </c>
      <c r="I117" s="24">
        <v>197</v>
      </c>
      <c r="J117" s="15">
        <f t="shared" si="6"/>
        <v>197</v>
      </c>
      <c r="K117" s="15">
        <f t="shared" si="7"/>
        <v>200</v>
      </c>
      <c r="L117" s="22" t="str">
        <f t="shared" si="5"/>
        <v>3NIA-3222</v>
      </c>
      <c r="M117" s="25" t="s">
        <v>91</v>
      </c>
      <c r="N117" s="1">
        <f>ROUNDUP(O117 * (1 + LOOKUP(MIN(VALUE(LEFT(G121,FIND("/",G121&amp;"/")-1)), VALUE(MID(G121,FIND("/",G121)+1, LEN(G121)))), {16,18,19,20,22,24,26,28}, {0.0143,0.0229,0.0307,0.0363,0.0338,0.03,0.0193,0.0026})), 0)</f>
        <v>512</v>
      </c>
      <c r="O117" s="1">
        <v>500</v>
      </c>
    </row>
    <row r="118" spans="1:15" ht="21">
      <c r="A118" s="20"/>
      <c r="B118" s="36"/>
      <c r="C118" s="39"/>
      <c r="D118" s="22">
        <v>3</v>
      </c>
      <c r="E118" s="22" t="s">
        <v>90</v>
      </c>
      <c r="F118" s="22" t="s">
        <v>85</v>
      </c>
      <c r="G118" s="22">
        <v>20</v>
      </c>
      <c r="H118" s="23">
        <v>237</v>
      </c>
      <c r="I118" s="24">
        <v>237</v>
      </c>
      <c r="J118" s="15">
        <f t="shared" si="6"/>
        <v>237</v>
      </c>
      <c r="K118" s="15">
        <f t="shared" si="7"/>
        <v>240</v>
      </c>
      <c r="L118" s="22" t="str">
        <f t="shared" si="5"/>
        <v>3NIA-3220</v>
      </c>
      <c r="M118" s="25" t="s">
        <v>91</v>
      </c>
      <c r="N118" s="1">
        <f>ROUNDUP(O118 * (1 + LOOKUP(MIN(VALUE(LEFT(G122,FIND("/",G122&amp;"/")-1)), VALUE(MID(G122,FIND("/",G122)+1, LEN(G122)))), {16,18,19,20,22,24,26,28}, {0.0143,0.0229,0.0307,0.0363,0.0338,0.03,0.0193,0.0026})), 0)</f>
        <v>512</v>
      </c>
      <c r="O118" s="1">
        <v>500</v>
      </c>
    </row>
    <row r="119" spans="1:15" ht="21">
      <c r="A119" s="20"/>
      <c r="B119" s="36"/>
      <c r="C119" s="39"/>
      <c r="D119" s="22">
        <v>3</v>
      </c>
      <c r="E119" s="22" t="s">
        <v>90</v>
      </c>
      <c r="F119" s="22" t="s">
        <v>85</v>
      </c>
      <c r="G119" s="22">
        <v>18</v>
      </c>
      <c r="H119" s="23">
        <v>311</v>
      </c>
      <c r="I119" s="24">
        <v>311</v>
      </c>
      <c r="J119" s="15">
        <f t="shared" si="6"/>
        <v>311</v>
      </c>
      <c r="K119" s="15">
        <f t="shared" si="7"/>
        <v>314</v>
      </c>
      <c r="L119" s="22" t="str">
        <f t="shared" si="5"/>
        <v>3NIA-3218</v>
      </c>
      <c r="M119" s="25" t="s">
        <v>91</v>
      </c>
      <c r="N119" s="1">
        <f>ROUNDUP(O119 * (1 + LOOKUP(MIN(VALUE(LEFT(G123,FIND("/",G123&amp;"/")-1)), VALUE(MID(G123,FIND("/",G123)+1, LEN(G123)))), {16,18,19,20,22,24,26,28}, {0.0143,0.0229,0.0307,0.0363,0.0338,0.03,0.0193,0.0026})), 0)</f>
        <v>609</v>
      </c>
      <c r="O119" s="1">
        <v>600</v>
      </c>
    </row>
    <row r="120" spans="1:15" ht="21">
      <c r="A120" s="20"/>
      <c r="B120" s="36"/>
      <c r="C120" s="39"/>
      <c r="D120" s="22">
        <v>3</v>
      </c>
      <c r="E120" s="22" t="s">
        <v>90</v>
      </c>
      <c r="F120" s="22" t="s">
        <v>85</v>
      </c>
      <c r="G120" s="22">
        <v>16</v>
      </c>
      <c r="H120" s="23">
        <v>392</v>
      </c>
      <c r="I120" s="24">
        <v>392</v>
      </c>
      <c r="J120" s="15">
        <f t="shared" si="6"/>
        <v>392</v>
      </c>
      <c r="K120" s="15">
        <f t="shared" si="7"/>
        <v>395</v>
      </c>
      <c r="L120" s="22" t="str">
        <f t="shared" si="5"/>
        <v>3NIA-3216</v>
      </c>
      <c r="M120" s="25" t="s">
        <v>91</v>
      </c>
      <c r="N120" s="1">
        <f>ROUNDUP(O120 * (1 + LOOKUP(MIN(VALUE(LEFT(G124,FIND("/",G124&amp;"/")-1)), VALUE(MID(G124,FIND("/",G124)+1, LEN(G124)))), {16,18,19,20,22,24,26,28}, {0.0143,0.0229,0.0307,0.0363,0.0338,0.03,0.0193,0.0026})), 0)</f>
        <v>660</v>
      </c>
      <c r="O120" s="1">
        <v>650</v>
      </c>
    </row>
    <row r="121" spans="1:15" ht="21">
      <c r="A121" s="20"/>
      <c r="B121" s="36"/>
      <c r="C121" s="33" t="s">
        <v>50</v>
      </c>
      <c r="D121" s="22">
        <v>3</v>
      </c>
      <c r="E121" s="22" t="s">
        <v>92</v>
      </c>
      <c r="F121" s="22" t="s">
        <v>93</v>
      </c>
      <c r="G121" s="22" t="s">
        <v>53</v>
      </c>
      <c r="H121" s="23">
        <v>0</v>
      </c>
      <c r="I121" s="24">
        <v>0</v>
      </c>
      <c r="J121" s="15">
        <f t="shared" si="6"/>
        <v>0</v>
      </c>
      <c r="K121" s="15">
        <f t="shared" si="7"/>
        <v>0</v>
      </c>
      <c r="L121" s="22" t="str">
        <f t="shared" si="5"/>
        <v>3NP-3220/18</v>
      </c>
      <c r="M121" s="25" t="s">
        <v>94</v>
      </c>
      <c r="N121" s="1">
        <f>ROUNDUP(O121 * (1 + LOOKUP(G125, {16,18,19,20,22,24,26,28}, {0.0143,0.0229,0.0307,0.0363,0.0338,0.03,0.0193,0.0026})), 0)</f>
        <v>467</v>
      </c>
      <c r="O121" s="1">
        <v>450</v>
      </c>
    </row>
    <row r="122" spans="1:15" ht="21">
      <c r="A122" s="20"/>
      <c r="B122" s="36"/>
      <c r="C122" s="33"/>
      <c r="D122" s="22">
        <v>3</v>
      </c>
      <c r="E122" s="22" t="s">
        <v>92</v>
      </c>
      <c r="F122" s="22" t="s">
        <v>93</v>
      </c>
      <c r="G122" s="22" t="s">
        <v>55</v>
      </c>
      <c r="H122" s="23">
        <v>0</v>
      </c>
      <c r="I122" s="24">
        <v>0</v>
      </c>
      <c r="J122" s="15">
        <f t="shared" si="6"/>
        <v>0</v>
      </c>
      <c r="K122" s="15">
        <f t="shared" si="7"/>
        <v>0</v>
      </c>
      <c r="L122" s="22" t="str">
        <f t="shared" si="5"/>
        <v>3NP-3218/20</v>
      </c>
      <c r="M122" s="25" t="s">
        <v>94</v>
      </c>
      <c r="N122" s="1">
        <f>ROUNDUP(O122 * (1 + LOOKUP(G126, {16,18,19,20,22,24,26,28}, {0.0143,0.0229,0.0307,0.0363,0.0338,0.03,0.0193,0.0026})), 0)</f>
        <v>563</v>
      </c>
      <c r="O122" s="1">
        <v>550</v>
      </c>
    </row>
    <row r="123" spans="1:15" ht="21">
      <c r="A123" s="20"/>
      <c r="B123" s="36"/>
      <c r="C123" s="33"/>
      <c r="D123" s="22">
        <v>3</v>
      </c>
      <c r="E123" s="22" t="s">
        <v>92</v>
      </c>
      <c r="F123" s="22" t="s">
        <v>93</v>
      </c>
      <c r="G123" s="22" t="s">
        <v>56</v>
      </c>
      <c r="H123" s="23">
        <v>0</v>
      </c>
      <c r="I123" s="24">
        <v>0</v>
      </c>
      <c r="J123" s="15">
        <f t="shared" si="6"/>
        <v>0</v>
      </c>
      <c r="K123" s="15">
        <f t="shared" si="7"/>
        <v>0</v>
      </c>
      <c r="L123" s="22" t="str">
        <f t="shared" si="5"/>
        <v>3NP-3218/16</v>
      </c>
      <c r="M123" s="25" t="s">
        <v>94</v>
      </c>
      <c r="N123" s="1">
        <f>ROUNDUP(O123 * (1 + LOOKUP(G127, {16,18,19,20,22,24,26,28}, {0.0143,0.0229,0.0307,0.0363,0.0338,0.03,0.0193,0.0026})), 0)</f>
        <v>711</v>
      </c>
      <c r="O123" s="1">
        <v>700</v>
      </c>
    </row>
    <row r="124" spans="1:15" ht="21">
      <c r="A124" s="20"/>
      <c r="B124" s="36"/>
      <c r="C124" s="33"/>
      <c r="D124" s="22">
        <v>3</v>
      </c>
      <c r="E124" s="22" t="s">
        <v>92</v>
      </c>
      <c r="F124" s="22" t="s">
        <v>93</v>
      </c>
      <c r="G124" s="22" t="s">
        <v>57</v>
      </c>
      <c r="H124" s="23">
        <v>0</v>
      </c>
      <c r="I124" s="24">
        <v>0</v>
      </c>
      <c r="J124" s="15">
        <f t="shared" si="6"/>
        <v>0</v>
      </c>
      <c r="K124" s="15">
        <f t="shared" si="7"/>
        <v>0</v>
      </c>
      <c r="L124" s="22" t="str">
        <f t="shared" si="5"/>
        <v>3NP-3216/18</v>
      </c>
      <c r="M124" s="25" t="s">
        <v>94</v>
      </c>
      <c r="N124" s="1">
        <f>ROUNDUP(O124 * (1 + LOOKUP(MIN(VALUE(LEFT(G128,FIND("/",G128&amp;"/")-1)), VALUE(MID(G128,FIND("/",G128)+1, LEN(G128)))), {16,18,19,20,22,24,26,28}, {0.0143,0.0229,0.0307,0.0363,0.0338,0.03,0.0193,0.0026})), 0)</f>
        <v>512</v>
      </c>
      <c r="O124" s="1">
        <v>500</v>
      </c>
    </row>
    <row r="125" spans="1:15" ht="21">
      <c r="A125" s="20"/>
      <c r="B125" s="36"/>
      <c r="C125" s="33"/>
      <c r="D125" s="22">
        <v>3</v>
      </c>
      <c r="E125" s="22" t="s">
        <v>92</v>
      </c>
      <c r="F125" s="22" t="s">
        <v>93</v>
      </c>
      <c r="G125" s="22">
        <v>20</v>
      </c>
      <c r="H125" s="23">
        <v>0</v>
      </c>
      <c r="I125" s="24">
        <v>0</v>
      </c>
      <c r="J125" s="15">
        <f t="shared" si="6"/>
        <v>0</v>
      </c>
      <c r="K125" s="15">
        <f t="shared" si="7"/>
        <v>0</v>
      </c>
      <c r="L125" s="22" t="str">
        <f t="shared" si="5"/>
        <v>3NP-3220</v>
      </c>
      <c r="M125" s="25" t="s">
        <v>94</v>
      </c>
      <c r="N125" s="1">
        <f>ROUNDUP(O125 * (1 + LOOKUP(MIN(VALUE(LEFT(G129,FIND("/",G129&amp;"/")-1)), VALUE(MID(G129,FIND("/",G129)+1, LEN(G129)))), {16,18,19,20,22,24,26,28}, {0.0143,0.0229,0.0307,0.0363,0.0338,0.03,0.0193,0.0026})), 0)</f>
        <v>512</v>
      </c>
      <c r="O125" s="1">
        <v>500</v>
      </c>
    </row>
    <row r="126" spans="1:15" ht="21">
      <c r="A126" s="20"/>
      <c r="B126" s="36"/>
      <c r="C126" s="33"/>
      <c r="D126" s="22">
        <v>3</v>
      </c>
      <c r="E126" s="22" t="s">
        <v>92</v>
      </c>
      <c r="F126" s="22" t="s">
        <v>93</v>
      </c>
      <c r="G126" s="22">
        <v>18</v>
      </c>
      <c r="H126" s="23">
        <v>0</v>
      </c>
      <c r="I126" s="24">
        <v>0</v>
      </c>
      <c r="J126" s="15">
        <f t="shared" si="6"/>
        <v>0</v>
      </c>
      <c r="K126" s="15">
        <f t="shared" si="7"/>
        <v>0</v>
      </c>
      <c r="L126" s="22" t="str">
        <f t="shared" si="5"/>
        <v>3NP-3218</v>
      </c>
      <c r="M126" s="25" t="s">
        <v>94</v>
      </c>
      <c r="N126" s="1">
        <f>ROUNDUP(O126 * (1 + LOOKUP(MIN(VALUE(LEFT(G130,FIND("/",G130&amp;"/")-1)), VALUE(MID(G130,FIND("/",G130)+1, LEN(G130)))), {16,18,19,20,22,24,26,28}, {0.0143,0.0229,0.0307,0.0363,0.0338,0.03,0.0193,0.0026})), 0)</f>
        <v>609</v>
      </c>
      <c r="O126" s="1">
        <v>600</v>
      </c>
    </row>
    <row r="127" spans="1:15" ht="21">
      <c r="A127" s="20"/>
      <c r="B127" s="36"/>
      <c r="C127" s="33"/>
      <c r="D127" s="22">
        <v>3</v>
      </c>
      <c r="E127" s="22" t="s">
        <v>92</v>
      </c>
      <c r="F127" s="22" t="s">
        <v>93</v>
      </c>
      <c r="G127" s="22">
        <v>16</v>
      </c>
      <c r="H127" s="23">
        <v>0</v>
      </c>
      <c r="I127" s="24">
        <v>0</v>
      </c>
      <c r="J127" s="15">
        <f t="shared" si="6"/>
        <v>0</v>
      </c>
      <c r="K127" s="15">
        <f t="shared" si="7"/>
        <v>0</v>
      </c>
      <c r="L127" s="22" t="str">
        <f t="shared" si="5"/>
        <v>3NP-3216</v>
      </c>
      <c r="M127" s="25" t="s">
        <v>94</v>
      </c>
      <c r="N127" s="1">
        <f>ROUNDUP(O127 * (1 + LOOKUP(MIN(VALUE(LEFT(G131,FIND("/",G131&amp;"/")-1)), VALUE(MID(G131,FIND("/",G131)+1, LEN(G131)))), {16,18,19,20,22,24,26,28}, {0.0143,0.0229,0.0307,0.0363,0.0338,0.03,0.0193,0.0026})), 0)</f>
        <v>660</v>
      </c>
      <c r="O127" s="1">
        <v>650</v>
      </c>
    </row>
    <row r="128" spans="1:15" ht="21">
      <c r="A128" s="20"/>
      <c r="B128" s="36"/>
      <c r="C128" s="40" t="s">
        <v>58</v>
      </c>
      <c r="D128" s="22">
        <v>3</v>
      </c>
      <c r="E128" s="22" t="s">
        <v>95</v>
      </c>
      <c r="F128" s="22" t="s">
        <v>96</v>
      </c>
      <c r="G128" s="22" t="s">
        <v>53</v>
      </c>
      <c r="H128" s="23">
        <v>0</v>
      </c>
      <c r="I128" s="24">
        <v>0</v>
      </c>
      <c r="J128" s="15">
        <f t="shared" si="6"/>
        <v>0</v>
      </c>
      <c r="K128" s="15">
        <f t="shared" si="7"/>
        <v>0</v>
      </c>
      <c r="L128" s="22" t="str">
        <f t="shared" si="5"/>
        <v>3NPA-3220/18</v>
      </c>
      <c r="M128" s="25" t="s">
        <v>97</v>
      </c>
      <c r="N128" s="1">
        <f>ROUNDUP(O128 * (1 + LOOKUP(G132, {16,18,19,20,22,24,26,28}, {0.0143,0.0229,0.0307,0.0363,0.0338,0.03,0.0193,0.0026})), 0)</f>
        <v>467</v>
      </c>
      <c r="O128" s="1">
        <v>450</v>
      </c>
    </row>
    <row r="129" spans="1:15" ht="21">
      <c r="A129" s="20"/>
      <c r="B129" s="36"/>
      <c r="C129" s="40"/>
      <c r="D129" s="22">
        <v>3</v>
      </c>
      <c r="E129" s="22" t="s">
        <v>95</v>
      </c>
      <c r="F129" s="22" t="s">
        <v>96</v>
      </c>
      <c r="G129" s="22" t="s">
        <v>55</v>
      </c>
      <c r="H129" s="23">
        <v>0</v>
      </c>
      <c r="I129" s="24">
        <v>0</v>
      </c>
      <c r="J129" s="15">
        <f t="shared" si="6"/>
        <v>0</v>
      </c>
      <c r="K129" s="15">
        <f t="shared" si="7"/>
        <v>0</v>
      </c>
      <c r="L129" s="22" t="str">
        <f t="shared" si="5"/>
        <v>3NPA-3218/20</v>
      </c>
      <c r="M129" s="25" t="s">
        <v>97</v>
      </c>
      <c r="N129" s="1">
        <f>ROUNDUP(O129 * (1 + LOOKUP(G133, {16,18,19,20,22,24,26,28}, {0.0143,0.0229,0.0307,0.0363,0.0338,0.03,0.0193,0.0026})), 0)</f>
        <v>563</v>
      </c>
      <c r="O129" s="1">
        <v>550</v>
      </c>
    </row>
    <row r="130" spans="1:15" ht="21">
      <c r="A130" s="20"/>
      <c r="B130" s="36"/>
      <c r="C130" s="40"/>
      <c r="D130" s="22">
        <v>3</v>
      </c>
      <c r="E130" s="22" t="s">
        <v>95</v>
      </c>
      <c r="F130" s="22" t="s">
        <v>96</v>
      </c>
      <c r="G130" s="22" t="s">
        <v>56</v>
      </c>
      <c r="H130" s="23">
        <v>0</v>
      </c>
      <c r="I130" s="24">
        <v>0</v>
      </c>
      <c r="J130" s="15">
        <f t="shared" si="6"/>
        <v>0</v>
      </c>
      <c r="K130" s="15">
        <f t="shared" si="7"/>
        <v>0</v>
      </c>
      <c r="L130" s="22" t="str">
        <f t="shared" si="5"/>
        <v>3NPA-3218/16</v>
      </c>
      <c r="M130" s="25" t="s">
        <v>97</v>
      </c>
      <c r="N130" s="1">
        <f>ROUNDUP(O130 * (1 + LOOKUP(G134, {16,18,19,20,22,24,26,28}, {0.0143,0.0229,0.0307,0.0363,0.0338,0.03,0.0193,0.0026})), 0)</f>
        <v>711</v>
      </c>
      <c r="O130" s="1">
        <v>700</v>
      </c>
    </row>
    <row r="131" spans="1:15" ht="21">
      <c r="A131" s="20"/>
      <c r="B131" s="36"/>
      <c r="C131" s="40"/>
      <c r="D131" s="22">
        <v>3</v>
      </c>
      <c r="E131" s="22" t="s">
        <v>95</v>
      </c>
      <c r="F131" s="22" t="s">
        <v>96</v>
      </c>
      <c r="G131" s="22" t="s">
        <v>57</v>
      </c>
      <c r="H131" s="23">
        <v>0</v>
      </c>
      <c r="I131" s="24">
        <v>0</v>
      </c>
      <c r="J131" s="15">
        <f t="shared" si="6"/>
        <v>0</v>
      </c>
      <c r="K131" s="15">
        <f t="shared" si="7"/>
        <v>0</v>
      </c>
      <c r="L131" s="22" t="str">
        <f t="shared" ref="L131:L194" si="8">D131&amp;E131&amp;G131</f>
        <v>3NPA-3216/18</v>
      </c>
      <c r="M131" s="25" t="s">
        <v>97</v>
      </c>
      <c r="N131" s="1">
        <v>167</v>
      </c>
      <c r="O131" s="1">
        <v>160</v>
      </c>
    </row>
    <row r="132" spans="1:15" ht="21">
      <c r="A132" s="20"/>
      <c r="B132" s="36"/>
      <c r="C132" s="40"/>
      <c r="D132" s="22">
        <v>3</v>
      </c>
      <c r="E132" s="22" t="s">
        <v>95</v>
      </c>
      <c r="F132" s="22" t="s">
        <v>96</v>
      </c>
      <c r="G132" s="22">
        <v>20</v>
      </c>
      <c r="H132" s="23">
        <v>0</v>
      </c>
      <c r="I132" s="24">
        <v>0</v>
      </c>
      <c r="J132" s="15">
        <f t="shared" si="6"/>
        <v>0</v>
      </c>
      <c r="K132" s="15">
        <f t="shared" si="7"/>
        <v>0</v>
      </c>
      <c r="L132" s="22" t="str">
        <f t="shared" si="8"/>
        <v>3NPA-3220</v>
      </c>
      <c r="M132" s="25" t="s">
        <v>97</v>
      </c>
      <c r="N132" s="1">
        <v>202</v>
      </c>
      <c r="O132" s="1">
        <v>190</v>
      </c>
    </row>
    <row r="133" spans="1:15" ht="21">
      <c r="A133" s="20"/>
      <c r="B133" s="36"/>
      <c r="C133" s="40"/>
      <c r="D133" s="22">
        <v>3</v>
      </c>
      <c r="E133" s="22" t="s">
        <v>95</v>
      </c>
      <c r="F133" s="22" t="s">
        <v>96</v>
      </c>
      <c r="G133" s="22">
        <v>18</v>
      </c>
      <c r="H133" s="23">
        <v>0</v>
      </c>
      <c r="I133" s="24">
        <v>0</v>
      </c>
      <c r="J133" s="15">
        <f t="shared" si="6"/>
        <v>0</v>
      </c>
      <c r="K133" s="15">
        <f t="shared" si="7"/>
        <v>0</v>
      </c>
      <c r="L133" s="22" t="str">
        <f t="shared" si="8"/>
        <v>3NPA-3218</v>
      </c>
      <c r="M133" s="25" t="s">
        <v>97</v>
      </c>
      <c r="N133" s="1">
        <f>ROUNDUP(O133 * (1 + LOOKUP(G137, {16,18,19,20,22,24,26,28}, {0.0143,0.0229,0.0307,0.0363,0.0338,0.03,0.0193,0.0026})), 0)</f>
        <v>238</v>
      </c>
      <c r="O133" s="1">
        <v>230</v>
      </c>
    </row>
    <row r="134" spans="1:15" ht="21">
      <c r="A134" s="20"/>
      <c r="B134" s="36"/>
      <c r="C134" s="40"/>
      <c r="D134" s="22">
        <v>3</v>
      </c>
      <c r="E134" s="22" t="s">
        <v>95</v>
      </c>
      <c r="F134" s="22" t="s">
        <v>96</v>
      </c>
      <c r="G134" s="22">
        <v>16</v>
      </c>
      <c r="H134" s="23">
        <v>0</v>
      </c>
      <c r="I134" s="24">
        <v>0</v>
      </c>
      <c r="J134" s="15">
        <f t="shared" si="6"/>
        <v>0</v>
      </c>
      <c r="K134" s="15">
        <f t="shared" si="7"/>
        <v>0</v>
      </c>
      <c r="L134" s="22" t="str">
        <f t="shared" si="8"/>
        <v>3NPA-3216</v>
      </c>
      <c r="M134" s="25" t="s">
        <v>97</v>
      </c>
      <c r="N134" s="1">
        <v>265</v>
      </c>
      <c r="O134" s="1">
        <v>260</v>
      </c>
    </row>
    <row r="135" spans="1:15" ht="21">
      <c r="A135" s="41" t="s">
        <v>98</v>
      </c>
      <c r="B135" s="42" t="s">
        <v>99</v>
      </c>
      <c r="C135" s="43" t="s">
        <v>15</v>
      </c>
      <c r="D135" s="44">
        <v>1.5</v>
      </c>
      <c r="E135" s="44" t="s">
        <v>100</v>
      </c>
      <c r="F135" s="44" t="s">
        <v>101</v>
      </c>
      <c r="G135" s="44">
        <v>22</v>
      </c>
      <c r="H135" s="45">
        <v>167</v>
      </c>
      <c r="I135" s="15">
        <v>167</v>
      </c>
      <c r="J135" s="15">
        <f t="shared" si="6"/>
        <v>167</v>
      </c>
      <c r="K135" s="15">
        <f t="shared" si="7"/>
        <v>170</v>
      </c>
      <c r="L135" s="44" t="str">
        <f t="shared" si="8"/>
        <v>1.5VL22</v>
      </c>
      <c r="M135" s="46" t="s">
        <v>102</v>
      </c>
      <c r="N135" s="1">
        <v>334</v>
      </c>
      <c r="O135" s="1">
        <v>330</v>
      </c>
    </row>
    <row r="136" spans="1:15" ht="21">
      <c r="A136" s="41"/>
      <c r="B136" s="42"/>
      <c r="C136" s="43"/>
      <c r="D136" s="44">
        <v>1.5</v>
      </c>
      <c r="E136" s="44" t="s">
        <v>100</v>
      </c>
      <c r="F136" s="44" t="s">
        <v>101</v>
      </c>
      <c r="G136" s="44">
        <v>20</v>
      </c>
      <c r="H136" s="45">
        <v>202</v>
      </c>
      <c r="I136" s="15">
        <v>202</v>
      </c>
      <c r="J136" s="15">
        <f t="shared" si="6"/>
        <v>202</v>
      </c>
      <c r="K136" s="15">
        <f t="shared" si="7"/>
        <v>205</v>
      </c>
      <c r="L136" s="44" t="str">
        <f t="shared" si="8"/>
        <v>1.5VL20</v>
      </c>
      <c r="M136" s="46" t="s">
        <v>102</v>
      </c>
      <c r="N136" s="1">
        <v>167</v>
      </c>
      <c r="O136" s="1">
        <v>160</v>
      </c>
    </row>
    <row r="137" spans="1:15" ht="21" customHeight="1">
      <c r="A137" s="41"/>
      <c r="B137" s="42"/>
      <c r="C137" s="43"/>
      <c r="D137" s="44">
        <v>1.5</v>
      </c>
      <c r="E137" s="44" t="s">
        <v>100</v>
      </c>
      <c r="F137" s="44" t="s">
        <v>101</v>
      </c>
      <c r="G137" s="44">
        <v>19</v>
      </c>
      <c r="H137" s="45">
        <v>238</v>
      </c>
      <c r="I137" s="15">
        <v>238</v>
      </c>
      <c r="J137" s="15">
        <f t="shared" si="6"/>
        <v>238</v>
      </c>
      <c r="K137" s="15">
        <f t="shared" si="7"/>
        <v>241</v>
      </c>
      <c r="L137" s="44" t="str">
        <f t="shared" si="8"/>
        <v>1.5VL19</v>
      </c>
      <c r="M137" s="46" t="s">
        <v>102</v>
      </c>
      <c r="N137" s="1">
        <v>202</v>
      </c>
      <c r="O137" s="1">
        <v>190</v>
      </c>
    </row>
    <row r="138" spans="1:15" ht="21">
      <c r="A138" s="41"/>
      <c r="B138" s="42"/>
      <c r="C138" s="43"/>
      <c r="D138" s="44">
        <v>1.5</v>
      </c>
      <c r="E138" s="44" t="s">
        <v>100</v>
      </c>
      <c r="F138" s="44" t="s">
        <v>101</v>
      </c>
      <c r="G138" s="44">
        <v>18</v>
      </c>
      <c r="H138" s="45">
        <v>265</v>
      </c>
      <c r="I138" s="15">
        <v>265</v>
      </c>
      <c r="J138" s="15">
        <f t="shared" si="6"/>
        <v>265</v>
      </c>
      <c r="K138" s="15">
        <f t="shared" si="7"/>
        <v>268</v>
      </c>
      <c r="L138" s="44" t="str">
        <f t="shared" si="8"/>
        <v>1.5VL18</v>
      </c>
      <c r="M138" s="46" t="s">
        <v>102</v>
      </c>
      <c r="N138" s="1">
        <f>ROUNDUP(O138 * (1 + LOOKUP(G142, {16,18,19,20,22,24,26,28}, {0.0143,0.0229,0.0307,0.0363,0.0338,0.03,0.0193,0.0026})), 0)</f>
        <v>238</v>
      </c>
      <c r="O138" s="1">
        <v>230</v>
      </c>
    </row>
    <row r="139" spans="1:15" ht="21">
      <c r="A139" s="41"/>
      <c r="B139" s="42"/>
      <c r="C139" s="43"/>
      <c r="D139" s="44">
        <v>1.5</v>
      </c>
      <c r="E139" s="44" t="s">
        <v>100</v>
      </c>
      <c r="F139" s="44" t="s">
        <v>101</v>
      </c>
      <c r="G139" s="44">
        <v>16</v>
      </c>
      <c r="H139" s="45">
        <v>334</v>
      </c>
      <c r="I139" s="15">
        <v>334</v>
      </c>
      <c r="J139" s="15">
        <f t="shared" si="6"/>
        <v>334</v>
      </c>
      <c r="K139" s="15">
        <f t="shared" si="7"/>
        <v>337</v>
      </c>
      <c r="L139" s="44" t="str">
        <f t="shared" si="8"/>
        <v>1.5VL16</v>
      </c>
      <c r="M139" s="46" t="s">
        <v>102</v>
      </c>
      <c r="N139" s="1">
        <v>265</v>
      </c>
      <c r="O139" s="1">
        <v>260</v>
      </c>
    </row>
    <row r="140" spans="1:15" ht="21">
      <c r="A140" s="41"/>
      <c r="B140" s="42"/>
      <c r="C140" s="47" t="s">
        <v>103</v>
      </c>
      <c r="D140" s="44">
        <v>1.5</v>
      </c>
      <c r="E140" s="44" t="s">
        <v>104</v>
      </c>
      <c r="F140" s="44" t="s">
        <v>105</v>
      </c>
      <c r="G140" s="44">
        <v>22</v>
      </c>
      <c r="H140" s="45">
        <v>167</v>
      </c>
      <c r="I140" s="15">
        <v>167</v>
      </c>
      <c r="J140" s="15">
        <f t="shared" si="6"/>
        <v>167</v>
      </c>
      <c r="K140" s="15">
        <f t="shared" si="7"/>
        <v>170</v>
      </c>
      <c r="L140" s="44" t="str">
        <f t="shared" si="8"/>
        <v>1.5VLR22</v>
      </c>
      <c r="M140" s="46" t="s">
        <v>106</v>
      </c>
      <c r="N140" s="1">
        <v>334</v>
      </c>
      <c r="O140" s="1">
        <v>330</v>
      </c>
    </row>
    <row r="141" spans="1:15" ht="21" customHeight="1">
      <c r="A141" s="41"/>
      <c r="B141" s="42"/>
      <c r="C141" s="47"/>
      <c r="D141" s="44">
        <v>1.5</v>
      </c>
      <c r="E141" s="44" t="s">
        <v>104</v>
      </c>
      <c r="F141" s="44" t="s">
        <v>105</v>
      </c>
      <c r="G141" s="44">
        <v>20</v>
      </c>
      <c r="H141" s="45">
        <v>202</v>
      </c>
      <c r="I141" s="15">
        <v>202</v>
      </c>
      <c r="J141" s="15">
        <f t="shared" si="6"/>
        <v>202</v>
      </c>
      <c r="K141" s="15">
        <f t="shared" si="7"/>
        <v>205</v>
      </c>
      <c r="L141" s="44" t="str">
        <f t="shared" si="8"/>
        <v>1.5VLR20</v>
      </c>
      <c r="M141" s="46" t="s">
        <v>106</v>
      </c>
      <c r="N141" s="1">
        <v>158</v>
      </c>
      <c r="O141" s="1">
        <v>150</v>
      </c>
    </row>
    <row r="142" spans="1:15" ht="21">
      <c r="A142" s="41"/>
      <c r="B142" s="42"/>
      <c r="C142" s="47"/>
      <c r="D142" s="44">
        <v>1.5</v>
      </c>
      <c r="E142" s="44" t="s">
        <v>104</v>
      </c>
      <c r="F142" s="44" t="s">
        <v>105</v>
      </c>
      <c r="G142" s="44">
        <v>19</v>
      </c>
      <c r="H142" s="45">
        <v>238</v>
      </c>
      <c r="I142" s="15">
        <v>238</v>
      </c>
      <c r="J142" s="15">
        <f t="shared" si="6"/>
        <v>238</v>
      </c>
      <c r="K142" s="15">
        <f t="shared" si="7"/>
        <v>241</v>
      </c>
      <c r="L142" s="44" t="str">
        <f t="shared" si="8"/>
        <v>1.5VLR19</v>
      </c>
      <c r="M142" s="46" t="s">
        <v>106</v>
      </c>
      <c r="N142" s="1">
        <v>191</v>
      </c>
      <c r="O142" s="1">
        <v>180</v>
      </c>
    </row>
    <row r="143" spans="1:15" ht="21">
      <c r="A143" s="41"/>
      <c r="B143" s="42"/>
      <c r="C143" s="47"/>
      <c r="D143" s="44">
        <v>1.5</v>
      </c>
      <c r="E143" s="44" t="s">
        <v>104</v>
      </c>
      <c r="F143" s="44" t="s">
        <v>105</v>
      </c>
      <c r="G143" s="44">
        <v>18</v>
      </c>
      <c r="H143" s="45">
        <v>265</v>
      </c>
      <c r="I143" s="15">
        <v>265</v>
      </c>
      <c r="J143" s="15">
        <f t="shared" si="6"/>
        <v>265</v>
      </c>
      <c r="K143" s="15">
        <f t="shared" si="7"/>
        <v>268</v>
      </c>
      <c r="L143" s="44" t="str">
        <f t="shared" si="8"/>
        <v>1.5VLR18</v>
      </c>
      <c r="M143" s="46" t="s">
        <v>106</v>
      </c>
      <c r="N143" s="1">
        <f>ROUNDUP(O143 * (1 + LOOKUP(G147, {16,18,19,20,22,24,26,28}, {0.0143,0.0229,0.0307,0.0363,0.0338,0.03,0.0193,0.0026})), 0)</f>
        <v>217</v>
      </c>
      <c r="O143" s="1">
        <v>210</v>
      </c>
    </row>
    <row r="144" spans="1:15" ht="21">
      <c r="A144" s="41"/>
      <c r="B144" s="42"/>
      <c r="C144" s="47"/>
      <c r="D144" s="44">
        <v>1.5</v>
      </c>
      <c r="E144" s="44" t="s">
        <v>104</v>
      </c>
      <c r="F144" s="44" t="s">
        <v>105</v>
      </c>
      <c r="G144" s="44">
        <v>16</v>
      </c>
      <c r="H144" s="45">
        <v>334</v>
      </c>
      <c r="I144" s="15">
        <v>334</v>
      </c>
      <c r="J144" s="15">
        <f t="shared" si="6"/>
        <v>334</v>
      </c>
      <c r="K144" s="15">
        <f t="shared" si="7"/>
        <v>337</v>
      </c>
      <c r="L144" s="44" t="str">
        <f t="shared" si="8"/>
        <v>1.5VLR16</v>
      </c>
      <c r="M144" s="46" t="s">
        <v>106</v>
      </c>
      <c r="N144" s="1">
        <v>251</v>
      </c>
      <c r="O144" s="1">
        <v>240</v>
      </c>
    </row>
    <row r="145" spans="1:15" ht="21">
      <c r="A145" s="41"/>
      <c r="B145" s="42"/>
      <c r="C145" s="43" t="s">
        <v>41</v>
      </c>
      <c r="D145" s="48">
        <v>2</v>
      </c>
      <c r="E145" s="44" t="s">
        <v>107</v>
      </c>
      <c r="F145" s="44" t="s">
        <v>108</v>
      </c>
      <c r="G145" s="44">
        <v>22</v>
      </c>
      <c r="H145" s="45">
        <v>158</v>
      </c>
      <c r="I145" s="15">
        <v>158</v>
      </c>
      <c r="J145" s="15">
        <f t="shared" si="6"/>
        <v>158</v>
      </c>
      <c r="K145" s="15">
        <f t="shared" si="7"/>
        <v>161</v>
      </c>
      <c r="L145" s="44" t="str">
        <f t="shared" si="8"/>
        <v>2VLI22</v>
      </c>
      <c r="M145" s="46" t="s">
        <v>109</v>
      </c>
      <c r="N145" s="1">
        <v>317</v>
      </c>
      <c r="O145" s="1">
        <v>310</v>
      </c>
    </row>
    <row r="146" spans="1:15" ht="21">
      <c r="A146" s="41"/>
      <c r="B146" s="42"/>
      <c r="C146" s="43"/>
      <c r="D146" s="48">
        <v>2</v>
      </c>
      <c r="E146" s="44" t="s">
        <v>107</v>
      </c>
      <c r="F146" s="44" t="s">
        <v>108</v>
      </c>
      <c r="G146" s="44">
        <v>20</v>
      </c>
      <c r="H146" s="45">
        <v>191</v>
      </c>
      <c r="I146" s="15">
        <v>191</v>
      </c>
      <c r="J146" s="15">
        <f t="shared" si="6"/>
        <v>191</v>
      </c>
      <c r="K146" s="15">
        <f t="shared" si="7"/>
        <v>194</v>
      </c>
      <c r="L146" s="44" t="str">
        <f t="shared" si="8"/>
        <v>2VLI20</v>
      </c>
      <c r="M146" s="46" t="s">
        <v>109</v>
      </c>
      <c r="N146" s="1">
        <v>178</v>
      </c>
      <c r="O146" s="1">
        <v>170</v>
      </c>
    </row>
    <row r="147" spans="1:15" ht="21">
      <c r="A147" s="41"/>
      <c r="B147" s="42"/>
      <c r="C147" s="43"/>
      <c r="D147" s="48">
        <v>2</v>
      </c>
      <c r="E147" s="44" t="s">
        <v>107</v>
      </c>
      <c r="F147" s="44" t="s">
        <v>108</v>
      </c>
      <c r="G147" s="44">
        <v>19</v>
      </c>
      <c r="H147" s="45">
        <v>217</v>
      </c>
      <c r="I147" s="15">
        <v>217</v>
      </c>
      <c r="J147" s="15">
        <f t="shared" si="6"/>
        <v>217</v>
      </c>
      <c r="K147" s="15">
        <f t="shared" si="7"/>
        <v>220</v>
      </c>
      <c r="L147" s="44" t="str">
        <f t="shared" si="8"/>
        <v>2VLI19</v>
      </c>
      <c r="M147" s="46" t="s">
        <v>109</v>
      </c>
      <c r="N147" s="1">
        <v>215</v>
      </c>
      <c r="O147" s="1">
        <v>210</v>
      </c>
    </row>
    <row r="148" spans="1:15" ht="21">
      <c r="A148" s="41"/>
      <c r="B148" s="42"/>
      <c r="C148" s="43"/>
      <c r="D148" s="48">
        <v>2</v>
      </c>
      <c r="E148" s="44" t="s">
        <v>107</v>
      </c>
      <c r="F148" s="44" t="s">
        <v>108</v>
      </c>
      <c r="G148" s="44">
        <v>18</v>
      </c>
      <c r="H148" s="45">
        <v>251</v>
      </c>
      <c r="I148" s="15">
        <v>251</v>
      </c>
      <c r="J148" s="15">
        <f t="shared" ref="J148:J211" si="9">IF(OR(ISNUMBER(SEARCH("cellular", M148)), ISNUMBER(SEARCH("dovetail", M148))), 0, IF(OR(ISNUMBER(SEARCH("acoustical", M148)), ISNUMBER(SEARCH("vented", M148))), N144 + 2, N144))</f>
        <v>251</v>
      </c>
      <c r="K148" s="15">
        <f t="shared" si="7"/>
        <v>254</v>
      </c>
      <c r="L148" s="44" t="str">
        <f t="shared" si="8"/>
        <v>2VLI18</v>
      </c>
      <c r="M148" s="46" t="s">
        <v>109</v>
      </c>
      <c r="N148" s="1">
        <f>ROUNDUP(O148 * (1 + LOOKUP(G152, {16,18,19,20,22,24,26,28}, {0.0143,0.0229,0.0307,0.0363,0.0338,0.03,0.0193,0.0026})), 0)</f>
        <v>248</v>
      </c>
      <c r="O148" s="1">
        <v>240</v>
      </c>
    </row>
    <row r="149" spans="1:15" ht="21">
      <c r="A149" s="41"/>
      <c r="B149" s="42"/>
      <c r="C149" s="43"/>
      <c r="D149" s="48">
        <v>2</v>
      </c>
      <c r="E149" s="44" t="s">
        <v>107</v>
      </c>
      <c r="F149" s="44" t="s">
        <v>108</v>
      </c>
      <c r="G149" s="44">
        <v>16</v>
      </c>
      <c r="H149" s="45">
        <v>317</v>
      </c>
      <c r="I149" s="15">
        <v>317</v>
      </c>
      <c r="J149" s="15">
        <f t="shared" si="9"/>
        <v>317</v>
      </c>
      <c r="K149" s="15">
        <f t="shared" si="7"/>
        <v>320</v>
      </c>
      <c r="L149" s="44" t="str">
        <f t="shared" si="8"/>
        <v>2VLI16</v>
      </c>
      <c r="M149" s="46" t="s">
        <v>109</v>
      </c>
      <c r="N149" s="1">
        <v>283</v>
      </c>
      <c r="O149" s="1">
        <v>280</v>
      </c>
    </row>
    <row r="150" spans="1:15" ht="21">
      <c r="A150" s="41"/>
      <c r="B150" s="42"/>
      <c r="C150" s="43"/>
      <c r="D150" s="48">
        <v>3</v>
      </c>
      <c r="E150" s="44" t="s">
        <v>107</v>
      </c>
      <c r="F150" s="44" t="s">
        <v>108</v>
      </c>
      <c r="G150" s="44">
        <v>22</v>
      </c>
      <c r="H150" s="45">
        <v>178</v>
      </c>
      <c r="I150" s="15">
        <v>178</v>
      </c>
      <c r="J150" s="15">
        <f t="shared" si="9"/>
        <v>178</v>
      </c>
      <c r="K150" s="15">
        <f t="shared" si="7"/>
        <v>181</v>
      </c>
      <c r="L150" s="44" t="str">
        <f t="shared" si="8"/>
        <v>3VLI22</v>
      </c>
      <c r="M150" s="46" t="s">
        <v>109</v>
      </c>
      <c r="N150" s="1">
        <v>357</v>
      </c>
      <c r="O150" s="1">
        <v>350</v>
      </c>
    </row>
    <row r="151" spans="1:15" ht="21" customHeight="1">
      <c r="A151" s="41"/>
      <c r="B151" s="42"/>
      <c r="C151" s="43"/>
      <c r="D151" s="48">
        <v>3</v>
      </c>
      <c r="E151" s="44" t="s">
        <v>107</v>
      </c>
      <c r="F151" s="44" t="s">
        <v>108</v>
      </c>
      <c r="G151" s="44">
        <v>20</v>
      </c>
      <c r="H151" s="45">
        <v>215</v>
      </c>
      <c r="I151" s="15">
        <v>215</v>
      </c>
      <c r="J151" s="15">
        <f t="shared" si="9"/>
        <v>215</v>
      </c>
      <c r="K151" s="15">
        <f t="shared" si="7"/>
        <v>218</v>
      </c>
      <c r="L151" s="44" t="str">
        <f t="shared" si="8"/>
        <v>3VLI20</v>
      </c>
      <c r="M151" s="46" t="s">
        <v>109</v>
      </c>
      <c r="N151" s="1">
        <f>ROUNDUP(O151 * (1 + LOOKUP(MIN(VALUE(LEFT(G155,FIND("/",G155&amp;"/")-1)), VALUE(MID(G155,FIND("/",G155)+1, LEN(G155)))), {16,18,19,20,22,24,26,28}, {0.0143,0.0229,0.0307,0.0363,0.0338,0.03,0.0193,0.0026})), 0)</f>
        <v>410</v>
      </c>
      <c r="O151" s="1">
        <v>400</v>
      </c>
    </row>
    <row r="152" spans="1:15" ht="21" customHeight="1">
      <c r="A152" s="41"/>
      <c r="B152" s="42"/>
      <c r="C152" s="43"/>
      <c r="D152" s="44">
        <v>3</v>
      </c>
      <c r="E152" s="44" t="s">
        <v>107</v>
      </c>
      <c r="F152" s="44" t="s">
        <v>108</v>
      </c>
      <c r="G152" s="44">
        <v>19</v>
      </c>
      <c r="H152" s="45">
        <v>248</v>
      </c>
      <c r="I152" s="15">
        <v>248</v>
      </c>
      <c r="J152" s="15">
        <f t="shared" si="9"/>
        <v>248</v>
      </c>
      <c r="K152" s="15">
        <f t="shared" si="7"/>
        <v>251</v>
      </c>
      <c r="L152" s="44" t="str">
        <f t="shared" si="8"/>
        <v>3VLI19</v>
      </c>
      <c r="M152" s="46" t="s">
        <v>109</v>
      </c>
      <c r="N152" s="1">
        <f>ROUNDUP(O152 * (1 + LOOKUP(MIN(VALUE(LEFT(G156,FIND("/",G156&amp;"/")-1)), VALUE(MID(G156,FIND("/",G156)+1, LEN(G156)))), {16,18,19,20,22,24,26,28}, {0.0143,0.0229,0.0307,0.0363,0.0338,0.03,0.0193,0.0026})), 0)</f>
        <v>410</v>
      </c>
      <c r="O152" s="1">
        <v>400</v>
      </c>
    </row>
    <row r="153" spans="1:15" ht="21" customHeight="1">
      <c r="A153" s="41"/>
      <c r="B153" s="42"/>
      <c r="C153" s="43"/>
      <c r="D153" s="44">
        <v>3</v>
      </c>
      <c r="E153" s="44" t="s">
        <v>107</v>
      </c>
      <c r="F153" s="44" t="s">
        <v>108</v>
      </c>
      <c r="G153" s="44">
        <v>18</v>
      </c>
      <c r="H153" s="45">
        <v>283</v>
      </c>
      <c r="I153" s="15">
        <v>283</v>
      </c>
      <c r="J153" s="15">
        <f t="shared" si="9"/>
        <v>283</v>
      </c>
      <c r="K153" s="15">
        <f t="shared" si="7"/>
        <v>286</v>
      </c>
      <c r="L153" s="44" t="str">
        <f t="shared" si="8"/>
        <v>3VLI18</v>
      </c>
      <c r="M153" s="46" t="s">
        <v>109</v>
      </c>
      <c r="N153" s="1">
        <f>ROUNDUP(O153 * (1 + LOOKUP(MIN(VALUE(LEFT(G157,FIND("/",G157&amp;"/")-1)), VALUE(MID(G157,FIND("/",G157)+1, LEN(G157)))), {16,18,19,20,22,24,26,28}, {0.0143,0.0229,0.0307,0.0363,0.0338,0.03,0.0193,0.0026})), 0)</f>
        <v>457</v>
      </c>
      <c r="O153" s="1">
        <v>450</v>
      </c>
    </row>
    <row r="154" spans="1:15" ht="21" customHeight="1">
      <c r="A154" s="41"/>
      <c r="B154" s="42"/>
      <c r="C154" s="43"/>
      <c r="D154" s="44">
        <v>3</v>
      </c>
      <c r="E154" s="44" t="s">
        <v>107</v>
      </c>
      <c r="F154" s="44" t="s">
        <v>108</v>
      </c>
      <c r="G154" s="44">
        <v>16</v>
      </c>
      <c r="H154" s="45">
        <v>357</v>
      </c>
      <c r="I154" s="15">
        <v>357</v>
      </c>
      <c r="J154" s="15">
        <f t="shared" si="9"/>
        <v>357</v>
      </c>
      <c r="K154" s="15">
        <f t="shared" si="7"/>
        <v>360</v>
      </c>
      <c r="L154" s="44" t="str">
        <f t="shared" si="8"/>
        <v>3VLI16</v>
      </c>
      <c r="M154" s="46" t="s">
        <v>109</v>
      </c>
      <c r="N154" s="1">
        <f>ROUNDUP(O154 * (1 + LOOKUP(MIN(VALUE(LEFT(G158,FIND("/",G158&amp;"/")-1)), VALUE(MID(G158,FIND("/",G158)+1, LEN(G158)))), {16,18,19,20,22,24,26,28}, {0.0143,0.0229,0.0307,0.0363,0.0338,0.03,0.0193,0.0026})), 0)</f>
        <v>508</v>
      </c>
      <c r="O154" s="1">
        <v>500</v>
      </c>
    </row>
    <row r="155" spans="1:15" ht="21" customHeight="1">
      <c r="A155" s="41"/>
      <c r="B155" s="49" t="s">
        <v>110</v>
      </c>
      <c r="C155" s="49"/>
      <c r="D155" s="44">
        <v>1.5</v>
      </c>
      <c r="E155" s="44" t="s">
        <v>111</v>
      </c>
      <c r="F155" s="44" t="s">
        <v>112</v>
      </c>
      <c r="G155" s="44" t="s">
        <v>53</v>
      </c>
      <c r="H155" s="45">
        <v>0</v>
      </c>
      <c r="I155" s="15">
        <v>0</v>
      </c>
      <c r="J155" s="15">
        <f t="shared" si="9"/>
        <v>0</v>
      </c>
      <c r="K155" s="15">
        <f t="shared" si="7"/>
        <v>0</v>
      </c>
      <c r="L155" s="44" t="str">
        <f t="shared" si="8"/>
        <v>1.5VLP20/18</v>
      </c>
      <c r="M155" s="46" t="s">
        <v>113</v>
      </c>
      <c r="N155" s="1">
        <f>ROUNDUP(O155 * (1 + LOOKUP(G159, {16,18,19,20,22,24,26,28}, {0.0143,0.0229,0.0307,0.0363,0.0338,0.03,0.0193,0.0026})), 0)</f>
        <v>363</v>
      </c>
      <c r="O155" s="1">
        <v>350</v>
      </c>
    </row>
    <row r="156" spans="1:15" ht="21" customHeight="1">
      <c r="A156" s="41"/>
      <c r="B156" s="49"/>
      <c r="C156" s="49"/>
      <c r="D156" s="44">
        <v>1.5</v>
      </c>
      <c r="E156" s="44" t="s">
        <v>111</v>
      </c>
      <c r="F156" s="44" t="s">
        <v>112</v>
      </c>
      <c r="G156" s="44" t="s">
        <v>55</v>
      </c>
      <c r="H156" s="45">
        <v>0</v>
      </c>
      <c r="I156" s="15">
        <v>0</v>
      </c>
      <c r="J156" s="15">
        <f t="shared" si="9"/>
        <v>0</v>
      </c>
      <c r="K156" s="15">
        <f t="shared" si="7"/>
        <v>0</v>
      </c>
      <c r="L156" s="44" t="str">
        <f t="shared" si="8"/>
        <v>1.5VLP18/20</v>
      </c>
      <c r="M156" s="46" t="s">
        <v>113</v>
      </c>
      <c r="N156" s="1">
        <f>ROUNDUP(O156 * (1 + LOOKUP(G160, {16,18,19,20,22,24,26,28}, {0.0143,0.0229,0.0307,0.0363,0.0338,0.03,0.0193,0.0026})), 0)</f>
        <v>461</v>
      </c>
      <c r="O156" s="1">
        <v>450</v>
      </c>
    </row>
    <row r="157" spans="1:15" ht="21" customHeight="1">
      <c r="A157" s="41"/>
      <c r="B157" s="49"/>
      <c r="C157" s="49"/>
      <c r="D157" s="44">
        <v>1.5</v>
      </c>
      <c r="E157" s="44" t="s">
        <v>111</v>
      </c>
      <c r="F157" s="44" t="s">
        <v>112</v>
      </c>
      <c r="G157" s="44" t="s">
        <v>56</v>
      </c>
      <c r="H157" s="45">
        <v>0</v>
      </c>
      <c r="I157" s="15">
        <v>0</v>
      </c>
      <c r="J157" s="15">
        <f t="shared" si="9"/>
        <v>0</v>
      </c>
      <c r="K157" s="15">
        <f t="shared" si="7"/>
        <v>0</v>
      </c>
      <c r="L157" s="44" t="str">
        <f t="shared" si="8"/>
        <v>1.5VLP18/16</v>
      </c>
      <c r="M157" s="46" t="s">
        <v>113</v>
      </c>
      <c r="N157" s="1">
        <f>ROUNDUP(O157 * (1 + LOOKUP(G161, {16,18,19,20,22,24,26,28}, {0.0143,0.0229,0.0307,0.0363,0.0338,0.03,0.0193,0.0026})), 0)</f>
        <v>558</v>
      </c>
      <c r="O157" s="1">
        <v>550</v>
      </c>
    </row>
    <row r="158" spans="1:15" ht="21" customHeight="1">
      <c r="A158" s="41"/>
      <c r="B158" s="49"/>
      <c r="C158" s="49"/>
      <c r="D158" s="44">
        <v>1.5</v>
      </c>
      <c r="E158" s="44" t="s">
        <v>111</v>
      </c>
      <c r="F158" s="44" t="s">
        <v>112</v>
      </c>
      <c r="G158" s="44" t="s">
        <v>57</v>
      </c>
      <c r="H158" s="45">
        <v>0</v>
      </c>
      <c r="I158" s="15">
        <v>0</v>
      </c>
      <c r="J158" s="15">
        <f t="shared" si="9"/>
        <v>0</v>
      </c>
      <c r="K158" s="15">
        <f t="shared" si="7"/>
        <v>0</v>
      </c>
      <c r="L158" s="44" t="str">
        <f t="shared" si="8"/>
        <v>1.5VLP16/18</v>
      </c>
      <c r="M158" s="46" t="s">
        <v>113</v>
      </c>
      <c r="N158" s="1">
        <f>ROUNDUP(O158 * (1 + LOOKUP(MIN(VALUE(LEFT(G162,FIND("/",G162&amp;"/")-1)), VALUE(MID(G162,FIND("/",G162)+1, LEN(G162)))), {16,18,19,20,22,24,26,28}, {0.0143,0.0229,0.0307,0.0363,0.0338,0.03,0.0193,0.0026})), 0)</f>
        <v>410</v>
      </c>
      <c r="O158" s="1">
        <v>400</v>
      </c>
    </row>
    <row r="159" spans="1:15" ht="21" customHeight="1">
      <c r="A159" s="41"/>
      <c r="B159" s="49"/>
      <c r="C159" s="49"/>
      <c r="D159" s="44">
        <v>1.5</v>
      </c>
      <c r="E159" s="44" t="s">
        <v>111</v>
      </c>
      <c r="F159" s="44" t="s">
        <v>112</v>
      </c>
      <c r="G159" s="44">
        <v>20</v>
      </c>
      <c r="H159" s="45">
        <v>0</v>
      </c>
      <c r="I159" s="15">
        <v>0</v>
      </c>
      <c r="J159" s="15">
        <f t="shared" si="9"/>
        <v>0</v>
      </c>
      <c r="K159" s="15">
        <f t="shared" si="7"/>
        <v>0</v>
      </c>
      <c r="L159" s="44" t="str">
        <f t="shared" si="8"/>
        <v>1.5VLP20</v>
      </c>
      <c r="M159" s="46" t="s">
        <v>113</v>
      </c>
      <c r="N159" s="1">
        <f>ROUNDUP(O159 * (1 + LOOKUP(MIN(VALUE(LEFT(G163,FIND("/",G163&amp;"/")-1)), VALUE(MID(G163,FIND("/",G163)+1, LEN(G163)))), {16,18,19,20,22,24,26,28}, {0.0143,0.0229,0.0307,0.0363,0.0338,0.03,0.0193,0.0026})), 0)</f>
        <v>410</v>
      </c>
      <c r="O159" s="1">
        <v>400</v>
      </c>
    </row>
    <row r="160" spans="1:15" ht="21" customHeight="1">
      <c r="A160" s="41"/>
      <c r="B160" s="49"/>
      <c r="C160" s="49"/>
      <c r="D160" s="44">
        <v>1.5</v>
      </c>
      <c r="E160" s="44" t="s">
        <v>111</v>
      </c>
      <c r="F160" s="44" t="s">
        <v>112</v>
      </c>
      <c r="G160" s="44">
        <v>18</v>
      </c>
      <c r="H160" s="45">
        <v>0</v>
      </c>
      <c r="I160" s="15">
        <v>0</v>
      </c>
      <c r="J160" s="15">
        <f t="shared" si="9"/>
        <v>0</v>
      </c>
      <c r="K160" s="15">
        <f t="shared" si="7"/>
        <v>0</v>
      </c>
      <c r="L160" s="44" t="str">
        <f t="shared" si="8"/>
        <v>1.5VLP18</v>
      </c>
      <c r="M160" s="46" t="s">
        <v>113</v>
      </c>
      <c r="N160" s="1">
        <f>ROUNDUP(O160 * (1 + LOOKUP(MIN(VALUE(LEFT(G164,FIND("/",G164&amp;"/")-1)), VALUE(MID(G164,FIND("/",G164)+1, LEN(G164)))), {16,18,19,20,22,24,26,28}, {0.0143,0.0229,0.0307,0.0363,0.0338,0.03,0.0193,0.0026})), 0)</f>
        <v>508</v>
      </c>
      <c r="O160" s="1">
        <v>500</v>
      </c>
    </row>
    <row r="161" spans="1:15" ht="21" customHeight="1">
      <c r="A161" s="41"/>
      <c r="B161" s="49"/>
      <c r="C161" s="49"/>
      <c r="D161" s="44">
        <v>1.5</v>
      </c>
      <c r="E161" s="44" t="s">
        <v>111</v>
      </c>
      <c r="F161" s="44" t="s">
        <v>112</v>
      </c>
      <c r="G161" s="44">
        <v>16</v>
      </c>
      <c r="H161" s="45">
        <v>0</v>
      </c>
      <c r="I161" s="15">
        <v>0</v>
      </c>
      <c r="J161" s="15">
        <f t="shared" si="9"/>
        <v>0</v>
      </c>
      <c r="K161" s="15">
        <f t="shared" si="7"/>
        <v>0</v>
      </c>
      <c r="L161" s="44" t="str">
        <f t="shared" si="8"/>
        <v>1.5VLP16</v>
      </c>
      <c r="M161" s="46" t="s">
        <v>113</v>
      </c>
      <c r="N161" s="1">
        <f>ROUNDUP(O161 * (1 + LOOKUP(MIN(VALUE(LEFT(G165,FIND("/",G165&amp;"/")-1)), VALUE(MID(G165,FIND("/",G165)+1, LEN(G165)))), {16,18,19,20,22,24,26,28}, {0.0143,0.0229,0.0307,0.0363,0.0338,0.03,0.0193,0.0026})), 0)</f>
        <v>508</v>
      </c>
      <c r="O161" s="1">
        <v>500</v>
      </c>
    </row>
    <row r="162" spans="1:15" ht="21" customHeight="1">
      <c r="A162" s="41"/>
      <c r="B162" s="49"/>
      <c r="C162" s="49"/>
      <c r="D162" s="48">
        <v>2</v>
      </c>
      <c r="E162" s="44" t="s">
        <v>111</v>
      </c>
      <c r="F162" s="44" t="s">
        <v>114</v>
      </c>
      <c r="G162" s="44" t="s">
        <v>53</v>
      </c>
      <c r="H162" s="45">
        <v>0</v>
      </c>
      <c r="I162" s="15">
        <v>0</v>
      </c>
      <c r="J162" s="15">
        <f t="shared" si="9"/>
        <v>0</v>
      </c>
      <c r="K162" s="15">
        <f t="shared" si="7"/>
        <v>0</v>
      </c>
      <c r="L162" s="44" t="str">
        <f t="shared" si="8"/>
        <v>2VLP20/18</v>
      </c>
      <c r="M162" s="46" t="s">
        <v>113</v>
      </c>
      <c r="N162" s="1">
        <f>ROUNDUP(O162 * (1 + LOOKUP(G166, {16,18,19,20,22,24,26,28}, {0.0143,0.0229,0.0307,0.0363,0.0338,0.03,0.0193,0.0026})), 0)</f>
        <v>363</v>
      </c>
      <c r="O162" s="1">
        <v>350</v>
      </c>
    </row>
    <row r="163" spans="1:15" ht="21" customHeight="1">
      <c r="A163" s="41"/>
      <c r="B163" s="49"/>
      <c r="C163" s="49"/>
      <c r="D163" s="48">
        <v>2</v>
      </c>
      <c r="E163" s="44" t="s">
        <v>111</v>
      </c>
      <c r="F163" s="44" t="s">
        <v>114</v>
      </c>
      <c r="G163" s="44" t="s">
        <v>55</v>
      </c>
      <c r="H163" s="45">
        <v>0</v>
      </c>
      <c r="I163" s="15">
        <v>0</v>
      </c>
      <c r="J163" s="15">
        <f t="shared" si="9"/>
        <v>0</v>
      </c>
      <c r="K163" s="15">
        <f t="shared" si="7"/>
        <v>0</v>
      </c>
      <c r="L163" s="44" t="str">
        <f t="shared" si="8"/>
        <v>2VLP18/20</v>
      </c>
      <c r="M163" s="46" t="s">
        <v>113</v>
      </c>
      <c r="N163" s="1">
        <f>ROUNDUP(O163 * (1 + LOOKUP(G167, {16,18,19,20,22,24,26,28}, {0.0143,0.0229,0.0307,0.0363,0.0338,0.03,0.0193,0.0026})), 0)</f>
        <v>461</v>
      </c>
      <c r="O163" s="1">
        <v>450</v>
      </c>
    </row>
    <row r="164" spans="1:15" ht="21" customHeight="1">
      <c r="A164" s="41"/>
      <c r="B164" s="49"/>
      <c r="C164" s="49"/>
      <c r="D164" s="48">
        <v>2</v>
      </c>
      <c r="E164" s="44" t="s">
        <v>111</v>
      </c>
      <c r="F164" s="44" t="s">
        <v>114</v>
      </c>
      <c r="G164" s="44" t="s">
        <v>56</v>
      </c>
      <c r="H164" s="45">
        <v>0</v>
      </c>
      <c r="I164" s="15">
        <v>0</v>
      </c>
      <c r="J164" s="15">
        <f t="shared" si="9"/>
        <v>0</v>
      </c>
      <c r="K164" s="15">
        <f t="shared" si="7"/>
        <v>0</v>
      </c>
      <c r="L164" s="44" t="str">
        <f t="shared" si="8"/>
        <v>2VLP18/16</v>
      </c>
      <c r="M164" s="46" t="s">
        <v>113</v>
      </c>
      <c r="N164" s="1">
        <f>ROUNDUP(O164 * (1 + LOOKUP(G168, {16,18,19,20,22,24,26,28}, {0.0143,0.0229,0.0307,0.0363,0.0338,0.03,0.0193,0.0026})), 0)</f>
        <v>558</v>
      </c>
      <c r="O164" s="1">
        <v>550</v>
      </c>
    </row>
    <row r="165" spans="1:15" ht="21" customHeight="1">
      <c r="A165" s="41"/>
      <c r="B165" s="49"/>
      <c r="C165" s="49"/>
      <c r="D165" s="48">
        <v>2</v>
      </c>
      <c r="E165" s="44" t="s">
        <v>111</v>
      </c>
      <c r="F165" s="44" t="s">
        <v>114</v>
      </c>
      <c r="G165" s="44" t="s">
        <v>57</v>
      </c>
      <c r="H165" s="45">
        <v>0</v>
      </c>
      <c r="I165" s="15">
        <v>0</v>
      </c>
      <c r="J165" s="15">
        <f t="shared" si="9"/>
        <v>0</v>
      </c>
      <c r="K165" s="15">
        <f t="shared" si="7"/>
        <v>0</v>
      </c>
      <c r="L165" s="44" t="str">
        <f t="shared" si="8"/>
        <v>2VLP16/18</v>
      </c>
      <c r="M165" s="46" t="s">
        <v>113</v>
      </c>
      <c r="N165" s="1">
        <f>ROUNDUP(O165 * (1 + LOOKUP(MIN(VALUE(LEFT(G169,FIND("/",G169&amp;"/")-1)), VALUE(MID(G169,FIND("/",G169)+1, LEN(G169)))), {16,18,19,20,22,24,26,28}, {0.0143,0.0229,0.0307,0.0363,0.0338,0.03,0.0193,0.0026})), 0)</f>
        <v>410</v>
      </c>
      <c r="O165" s="1">
        <v>400</v>
      </c>
    </row>
    <row r="166" spans="1:15" ht="21" customHeight="1">
      <c r="A166" s="41"/>
      <c r="B166" s="49"/>
      <c r="C166" s="49"/>
      <c r="D166" s="48">
        <v>2</v>
      </c>
      <c r="E166" s="44" t="s">
        <v>111</v>
      </c>
      <c r="F166" s="44" t="s">
        <v>114</v>
      </c>
      <c r="G166" s="44">
        <v>20</v>
      </c>
      <c r="H166" s="45">
        <v>0</v>
      </c>
      <c r="I166" s="15">
        <v>0</v>
      </c>
      <c r="J166" s="15">
        <f t="shared" si="9"/>
        <v>0</v>
      </c>
      <c r="K166" s="15">
        <f t="shared" si="7"/>
        <v>0</v>
      </c>
      <c r="L166" s="44" t="str">
        <f t="shared" si="8"/>
        <v>2VLP20</v>
      </c>
      <c r="M166" s="46" t="s">
        <v>113</v>
      </c>
      <c r="N166" s="1">
        <f>ROUNDUP(O166 * (1 + LOOKUP(MIN(VALUE(LEFT(G170,FIND("/",G170&amp;"/")-1)), VALUE(MID(G170,FIND("/",G170)+1, LEN(G170)))), {16,18,19,20,22,24,26,28}, {0.0143,0.0229,0.0307,0.0363,0.0338,0.03,0.0193,0.0026})), 0)</f>
        <v>461</v>
      </c>
      <c r="O166" s="1">
        <v>450</v>
      </c>
    </row>
    <row r="167" spans="1:15" ht="21" customHeight="1">
      <c r="A167" s="41"/>
      <c r="B167" s="49"/>
      <c r="C167" s="49"/>
      <c r="D167" s="48">
        <v>2</v>
      </c>
      <c r="E167" s="44" t="s">
        <v>111</v>
      </c>
      <c r="F167" s="44" t="s">
        <v>114</v>
      </c>
      <c r="G167" s="44">
        <v>18</v>
      </c>
      <c r="H167" s="45">
        <v>0</v>
      </c>
      <c r="I167" s="15">
        <v>0</v>
      </c>
      <c r="J167" s="15">
        <f t="shared" si="9"/>
        <v>0</v>
      </c>
      <c r="K167" s="15">
        <f t="shared" si="7"/>
        <v>0</v>
      </c>
      <c r="L167" s="44" t="str">
        <f t="shared" si="8"/>
        <v>2VLP18</v>
      </c>
      <c r="M167" s="46" t="s">
        <v>113</v>
      </c>
      <c r="N167" s="1">
        <f>ROUNDUP(O167 * (1 + LOOKUP(MIN(VALUE(LEFT(G171,FIND("/",G171&amp;"/")-1)), VALUE(MID(G171,FIND("/",G171)+1, LEN(G171)))), {16,18,19,20,22,24,26,28}, {0.0143,0.0229,0.0307,0.0363,0.0338,0.03,0.0193,0.0026})), 0)</f>
        <v>558</v>
      </c>
      <c r="O167" s="1">
        <v>550</v>
      </c>
    </row>
    <row r="168" spans="1:15" ht="21" customHeight="1">
      <c r="A168" s="41"/>
      <c r="B168" s="49"/>
      <c r="C168" s="49"/>
      <c r="D168" s="48">
        <v>2</v>
      </c>
      <c r="E168" s="44" t="s">
        <v>111</v>
      </c>
      <c r="F168" s="44" t="s">
        <v>114</v>
      </c>
      <c r="G168" s="44">
        <v>16</v>
      </c>
      <c r="H168" s="45">
        <v>0</v>
      </c>
      <c r="I168" s="15">
        <v>0</v>
      </c>
      <c r="J168" s="15">
        <f t="shared" si="9"/>
        <v>0</v>
      </c>
      <c r="K168" s="15">
        <f t="shared" si="7"/>
        <v>0</v>
      </c>
      <c r="L168" s="44" t="str">
        <f t="shared" si="8"/>
        <v>2VLP16</v>
      </c>
      <c r="M168" s="46" t="s">
        <v>113</v>
      </c>
      <c r="N168" s="1">
        <f>ROUNDUP(O168 * (1 + LOOKUP(MIN(VALUE(LEFT(G172,FIND("/",G172&amp;"/")-1)), VALUE(MID(G172,FIND("/",G172)+1, LEN(G172)))), {16,18,19,20,22,24,26,28}, {0.0143,0.0229,0.0307,0.0363,0.0338,0.03,0.0193,0.0026})), 0)</f>
        <v>558</v>
      </c>
      <c r="O168" s="1">
        <v>550</v>
      </c>
    </row>
    <row r="169" spans="1:15" ht="21" customHeight="1">
      <c r="A169" s="41"/>
      <c r="B169" s="49"/>
      <c r="C169" s="49"/>
      <c r="D169" s="48">
        <v>3</v>
      </c>
      <c r="E169" s="44" t="s">
        <v>111</v>
      </c>
      <c r="F169" s="44" t="s">
        <v>115</v>
      </c>
      <c r="G169" s="44" t="s">
        <v>53</v>
      </c>
      <c r="H169" s="45">
        <v>0</v>
      </c>
      <c r="I169" s="15">
        <v>0</v>
      </c>
      <c r="J169" s="15">
        <f t="shared" si="9"/>
        <v>0</v>
      </c>
      <c r="K169" s="15">
        <f t="shared" si="7"/>
        <v>0</v>
      </c>
      <c r="L169" s="44" t="str">
        <f t="shared" si="8"/>
        <v>3VLP20/18</v>
      </c>
      <c r="M169" s="46" t="s">
        <v>113</v>
      </c>
      <c r="N169" s="1">
        <f>ROUNDUP(O169 * (1 + LOOKUP(G173, {16,18,19,20,22,24,26,28}, {0.0143,0.0229,0.0307,0.0363,0.0338,0.03,0.0193,0.0026})), 0)</f>
        <v>363</v>
      </c>
      <c r="O169" s="1">
        <v>350</v>
      </c>
    </row>
    <row r="170" spans="1:15" ht="21" customHeight="1">
      <c r="A170" s="41"/>
      <c r="B170" s="49"/>
      <c r="C170" s="49"/>
      <c r="D170" s="48">
        <v>3</v>
      </c>
      <c r="E170" s="44" t="s">
        <v>111</v>
      </c>
      <c r="F170" s="44" t="s">
        <v>115</v>
      </c>
      <c r="G170" s="44" t="s">
        <v>55</v>
      </c>
      <c r="H170" s="45">
        <v>0</v>
      </c>
      <c r="I170" s="15">
        <v>0</v>
      </c>
      <c r="J170" s="15">
        <f t="shared" si="9"/>
        <v>0</v>
      </c>
      <c r="K170" s="15">
        <f t="shared" si="7"/>
        <v>0</v>
      </c>
      <c r="L170" s="44" t="str">
        <f t="shared" si="8"/>
        <v>3VLP18/20</v>
      </c>
      <c r="M170" s="46" t="s">
        <v>113</v>
      </c>
      <c r="N170" s="1">
        <f>ROUNDUP(O170 * (1 + LOOKUP(G174, {16,18,19,20,22,24,26,28}, {0.0143,0.0229,0.0307,0.0363,0.0338,0.03,0.0193,0.0026})), 0)</f>
        <v>512</v>
      </c>
      <c r="O170" s="1">
        <v>500</v>
      </c>
    </row>
    <row r="171" spans="1:15" ht="21" customHeight="1">
      <c r="A171" s="41"/>
      <c r="B171" s="49"/>
      <c r="C171" s="49"/>
      <c r="D171" s="48">
        <v>3</v>
      </c>
      <c r="E171" s="44" t="s">
        <v>111</v>
      </c>
      <c r="F171" s="44" t="s">
        <v>115</v>
      </c>
      <c r="G171" s="44" t="s">
        <v>56</v>
      </c>
      <c r="H171" s="45">
        <v>0</v>
      </c>
      <c r="I171" s="15">
        <v>0</v>
      </c>
      <c r="J171" s="15">
        <f t="shared" si="9"/>
        <v>0</v>
      </c>
      <c r="K171" s="15">
        <f t="shared" si="7"/>
        <v>0</v>
      </c>
      <c r="L171" s="44" t="str">
        <f t="shared" si="8"/>
        <v>3VLP18/16</v>
      </c>
      <c r="M171" s="46" t="s">
        <v>113</v>
      </c>
      <c r="N171" s="1">
        <f>ROUNDUP(O171 * (1 + LOOKUP(G175, {16,18,19,20,22,24,26,28}, {0.0143,0.0229,0.0307,0.0363,0.0338,0.03,0.0193,0.0026})), 0)</f>
        <v>609</v>
      </c>
      <c r="O171" s="1">
        <v>600</v>
      </c>
    </row>
    <row r="172" spans="1:15" ht="21" customHeight="1">
      <c r="A172" s="41"/>
      <c r="B172" s="49"/>
      <c r="C172" s="49"/>
      <c r="D172" s="48">
        <v>3</v>
      </c>
      <c r="E172" s="44" t="s">
        <v>111</v>
      </c>
      <c r="F172" s="44" t="s">
        <v>115</v>
      </c>
      <c r="G172" s="44" t="s">
        <v>57</v>
      </c>
      <c r="H172" s="45">
        <v>0</v>
      </c>
      <c r="I172" s="15">
        <v>0</v>
      </c>
      <c r="J172" s="15">
        <f t="shared" si="9"/>
        <v>0</v>
      </c>
      <c r="K172" s="15">
        <f t="shared" si="7"/>
        <v>0</v>
      </c>
      <c r="L172" s="44" t="str">
        <f t="shared" si="8"/>
        <v>3VLP16/18</v>
      </c>
      <c r="M172" s="46" t="s">
        <v>113</v>
      </c>
      <c r="N172" s="1">
        <f>ROUNDUP(O172 * (1 + LOOKUP(MIN(VALUE(LEFT(G176,FIND("/",G176&amp;"/")-1)), VALUE(MID(G176,FIND("/",G176)+1, LEN(G176)))), {16,18,19,20,22,24,26,28}, {0.0143,0.0229,0.0307,0.0363,0.0338,0.03,0.0193,0.0026})), 0)</f>
        <v>410</v>
      </c>
      <c r="O172" s="1">
        <v>400</v>
      </c>
    </row>
    <row r="173" spans="1:15" ht="21" customHeight="1">
      <c r="A173" s="41"/>
      <c r="B173" s="49"/>
      <c r="C173" s="49"/>
      <c r="D173" s="48">
        <v>3</v>
      </c>
      <c r="E173" s="44" t="s">
        <v>111</v>
      </c>
      <c r="F173" s="44" t="s">
        <v>115</v>
      </c>
      <c r="G173" s="44">
        <v>20</v>
      </c>
      <c r="H173" s="45">
        <v>0</v>
      </c>
      <c r="I173" s="15">
        <v>0</v>
      </c>
      <c r="J173" s="15">
        <f t="shared" si="9"/>
        <v>0</v>
      </c>
      <c r="K173" s="15">
        <f t="shared" si="7"/>
        <v>0</v>
      </c>
      <c r="L173" s="44" t="str">
        <f t="shared" si="8"/>
        <v>3VLP20</v>
      </c>
      <c r="M173" s="46" t="s">
        <v>113</v>
      </c>
      <c r="N173" s="1">
        <f>ROUNDUP(O173 * (1 + LOOKUP(MIN(VALUE(LEFT(G177,FIND("/",G177&amp;"/")-1)), VALUE(MID(G177,FIND("/",G177)+1, LEN(G177)))), {16,18,19,20,22,24,26,28}, {0.0143,0.0229,0.0307,0.0363,0.0338,0.03,0.0193,0.0026})), 0)</f>
        <v>410</v>
      </c>
      <c r="O173" s="1">
        <v>400</v>
      </c>
    </row>
    <row r="174" spans="1:15" ht="21" customHeight="1">
      <c r="A174" s="41"/>
      <c r="B174" s="49"/>
      <c r="C174" s="49"/>
      <c r="D174" s="48">
        <v>3</v>
      </c>
      <c r="E174" s="44" t="s">
        <v>111</v>
      </c>
      <c r="F174" s="44" t="s">
        <v>115</v>
      </c>
      <c r="G174" s="44">
        <v>18</v>
      </c>
      <c r="H174" s="45">
        <v>0</v>
      </c>
      <c r="I174" s="15">
        <v>0</v>
      </c>
      <c r="J174" s="15">
        <f t="shared" si="9"/>
        <v>0</v>
      </c>
      <c r="K174" s="15">
        <f t="shared" si="7"/>
        <v>0</v>
      </c>
      <c r="L174" s="44" t="str">
        <f t="shared" si="8"/>
        <v>3VLP18</v>
      </c>
      <c r="M174" s="46" t="s">
        <v>113</v>
      </c>
      <c r="N174" s="1">
        <f>ROUNDUP(O174 * (1 + LOOKUP(MIN(VALUE(LEFT(G178,FIND("/",G178&amp;"/")-1)), VALUE(MID(G178,FIND("/",G178)+1, LEN(G178)))), {16,18,19,20,22,24,26,28}, {0.0143,0.0229,0.0307,0.0363,0.0338,0.03,0.0193,0.0026})), 0)</f>
        <v>508</v>
      </c>
      <c r="O174" s="1">
        <v>500</v>
      </c>
    </row>
    <row r="175" spans="1:15" ht="21" customHeight="1">
      <c r="A175" s="41"/>
      <c r="B175" s="49"/>
      <c r="C175" s="49"/>
      <c r="D175" s="48">
        <v>3</v>
      </c>
      <c r="E175" s="44" t="s">
        <v>111</v>
      </c>
      <c r="F175" s="44" t="s">
        <v>115</v>
      </c>
      <c r="G175" s="44">
        <v>16</v>
      </c>
      <c r="H175" s="45">
        <v>0</v>
      </c>
      <c r="I175" s="15">
        <v>0</v>
      </c>
      <c r="J175" s="15">
        <f t="shared" si="9"/>
        <v>0</v>
      </c>
      <c r="K175" s="15">
        <f t="shared" si="7"/>
        <v>0</v>
      </c>
      <c r="L175" s="44" t="str">
        <f t="shared" si="8"/>
        <v>3VLP16</v>
      </c>
      <c r="M175" s="46" t="s">
        <v>113</v>
      </c>
      <c r="N175" s="1">
        <f>ROUNDUP(O175 * (1 + LOOKUP(MIN(VALUE(LEFT(G179,FIND("/",G179&amp;"/")-1)), VALUE(MID(G179,FIND("/",G179)+1, LEN(G179)))), {16,18,19,20,22,24,26,28}, {0.0143,0.0229,0.0307,0.0363,0.0338,0.03,0.0193,0.0026})), 0)</f>
        <v>508</v>
      </c>
      <c r="O175" s="1">
        <v>500</v>
      </c>
    </row>
    <row r="176" spans="1:15" ht="21" customHeight="1">
      <c r="A176" s="41"/>
      <c r="B176" s="50" t="s">
        <v>116</v>
      </c>
      <c r="C176" s="50"/>
      <c r="D176" s="48">
        <v>2</v>
      </c>
      <c r="E176" s="44" t="s">
        <v>117</v>
      </c>
      <c r="F176" s="44" t="s">
        <v>118</v>
      </c>
      <c r="G176" s="44" t="s">
        <v>53</v>
      </c>
      <c r="H176" s="45">
        <v>0</v>
      </c>
      <c r="I176" s="15">
        <v>0</v>
      </c>
      <c r="J176" s="15">
        <f t="shared" si="9"/>
        <v>0</v>
      </c>
      <c r="K176" s="15">
        <f t="shared" ref="K176:K182" si="10">IF(J176=0, 0, J176+3)</f>
        <v>0</v>
      </c>
      <c r="L176" s="44" t="str">
        <f t="shared" si="8"/>
        <v>2VLPA20/18</v>
      </c>
      <c r="M176" s="46" t="s">
        <v>119</v>
      </c>
      <c r="N176" s="1">
        <f>ROUNDUP(O176 * (1 + LOOKUP(G180, {16,18,19,20,22,24,26,28}, {0.0143,0.0229,0.0307,0.0363,0.0338,0.03,0.0193,0.0026})), 0)</f>
        <v>363</v>
      </c>
      <c r="O176" s="1">
        <v>350</v>
      </c>
    </row>
    <row r="177" spans="1:15" ht="21" customHeight="1">
      <c r="A177" s="41"/>
      <c r="B177" s="50"/>
      <c r="C177" s="50"/>
      <c r="D177" s="48">
        <v>2</v>
      </c>
      <c r="E177" s="44" t="s">
        <v>117</v>
      </c>
      <c r="F177" s="44" t="s">
        <v>118</v>
      </c>
      <c r="G177" s="44" t="s">
        <v>55</v>
      </c>
      <c r="H177" s="45">
        <v>0</v>
      </c>
      <c r="I177" s="15">
        <v>0</v>
      </c>
      <c r="J177" s="15">
        <f t="shared" si="9"/>
        <v>0</v>
      </c>
      <c r="K177" s="15">
        <f t="shared" si="10"/>
        <v>0</v>
      </c>
      <c r="L177" s="44" t="str">
        <f t="shared" si="8"/>
        <v>2VLPA18/20</v>
      </c>
      <c r="M177" s="46" t="s">
        <v>119</v>
      </c>
      <c r="N177" s="1">
        <f>ROUNDUP(O177 * (1 + LOOKUP(G181, {16,18,19,20,22,24,26,28}, {0.0143,0.0229,0.0307,0.0363,0.0338,0.03,0.0193,0.0026})), 0)</f>
        <v>461</v>
      </c>
      <c r="O177" s="1">
        <v>450</v>
      </c>
    </row>
    <row r="178" spans="1:15" ht="21" customHeight="1">
      <c r="A178" s="41"/>
      <c r="B178" s="50"/>
      <c r="C178" s="50"/>
      <c r="D178" s="48">
        <v>2</v>
      </c>
      <c r="E178" s="44" t="s">
        <v>117</v>
      </c>
      <c r="F178" s="44" t="s">
        <v>118</v>
      </c>
      <c r="G178" s="44" t="s">
        <v>56</v>
      </c>
      <c r="H178" s="45">
        <v>0</v>
      </c>
      <c r="I178" s="15">
        <v>0</v>
      </c>
      <c r="J178" s="15">
        <f t="shared" si="9"/>
        <v>0</v>
      </c>
      <c r="K178" s="15">
        <f t="shared" si="10"/>
        <v>0</v>
      </c>
      <c r="L178" s="44" t="str">
        <f t="shared" si="8"/>
        <v>2VLPA18/16</v>
      </c>
      <c r="M178" s="46" t="s">
        <v>119</v>
      </c>
      <c r="N178" s="1">
        <f>ROUNDUP(O178 * (1 + LOOKUP(G182, {16,18,19,20,22,24,26,28}, {0.0143,0.0229,0.0307,0.0363,0.0338,0.03,0.0193,0.0026})), 0)</f>
        <v>558</v>
      </c>
      <c r="O178" s="1">
        <v>550</v>
      </c>
    </row>
    <row r="179" spans="1:15" ht="21" customHeight="1">
      <c r="A179" s="41"/>
      <c r="B179" s="50"/>
      <c r="C179" s="50"/>
      <c r="D179" s="48">
        <v>2</v>
      </c>
      <c r="E179" s="44" t="s">
        <v>117</v>
      </c>
      <c r="F179" s="44" t="s">
        <v>118</v>
      </c>
      <c r="G179" s="44" t="s">
        <v>57</v>
      </c>
      <c r="H179" s="45">
        <v>0</v>
      </c>
      <c r="I179" s="15">
        <v>0</v>
      </c>
      <c r="J179" s="15">
        <f t="shared" si="9"/>
        <v>0</v>
      </c>
      <c r="K179" s="15">
        <f t="shared" si="10"/>
        <v>0</v>
      </c>
      <c r="L179" s="44" t="str">
        <f t="shared" si="8"/>
        <v>2VLPA16/18</v>
      </c>
      <c r="M179" s="46" t="s">
        <v>119</v>
      </c>
      <c r="N179" s="1">
        <f>ROUNDUP(O179 * (1 + LOOKUP(MIN(VALUE(LEFT(G183,FIND("/",G183&amp;"/")-1)), VALUE(MID(G183,FIND("/",G183)+1, LEN(G183)))), {16,18,19,20,22,24,26,28}, {0.0143,0.0229,0.0307,0.0363,0.0338,0.03,0.0193,0.0026})), 0)</f>
        <v>410</v>
      </c>
      <c r="O179" s="1">
        <v>400</v>
      </c>
    </row>
    <row r="180" spans="1:15" ht="21" customHeight="1">
      <c r="A180" s="41"/>
      <c r="B180" s="50"/>
      <c r="C180" s="50"/>
      <c r="D180" s="48">
        <v>2</v>
      </c>
      <c r="E180" s="44" t="s">
        <v>117</v>
      </c>
      <c r="F180" s="44" t="s">
        <v>118</v>
      </c>
      <c r="G180" s="44">
        <v>20</v>
      </c>
      <c r="H180" s="45">
        <v>0</v>
      </c>
      <c r="I180" s="15">
        <v>0</v>
      </c>
      <c r="J180" s="15">
        <f t="shared" si="9"/>
        <v>0</v>
      </c>
      <c r="K180" s="15">
        <f t="shared" si="10"/>
        <v>0</v>
      </c>
      <c r="L180" s="44" t="str">
        <f t="shared" si="8"/>
        <v>2VLPA20</v>
      </c>
      <c r="M180" s="46" t="s">
        <v>119</v>
      </c>
      <c r="N180" s="1">
        <f>ROUNDUP(O180 * (1 + LOOKUP(MIN(VALUE(LEFT(G184,FIND("/",G184&amp;"/")-1)), VALUE(MID(G184,FIND("/",G184)+1, LEN(G184)))), {16,18,19,20,22,24,26,28}, {0.0143,0.0229,0.0307,0.0363,0.0338,0.03,0.0193,0.0026})), 0)</f>
        <v>461</v>
      </c>
      <c r="O180" s="1">
        <v>450</v>
      </c>
    </row>
    <row r="181" spans="1:15" ht="21" customHeight="1">
      <c r="A181" s="41"/>
      <c r="B181" s="50"/>
      <c r="C181" s="50"/>
      <c r="D181" s="48">
        <v>2</v>
      </c>
      <c r="E181" s="44" t="s">
        <v>117</v>
      </c>
      <c r="F181" s="44" t="s">
        <v>118</v>
      </c>
      <c r="G181" s="44">
        <v>18</v>
      </c>
      <c r="H181" s="45">
        <v>0</v>
      </c>
      <c r="I181" s="15">
        <v>0</v>
      </c>
      <c r="J181" s="15">
        <f t="shared" si="9"/>
        <v>0</v>
      </c>
      <c r="K181" s="15">
        <f t="shared" si="10"/>
        <v>0</v>
      </c>
      <c r="L181" s="44" t="str">
        <f t="shared" si="8"/>
        <v>2VLPA18</v>
      </c>
      <c r="M181" s="46" t="s">
        <v>119</v>
      </c>
      <c r="N181" s="1">
        <f>ROUNDUP(O181 * (1 + LOOKUP(MIN(VALUE(LEFT(G185,FIND("/",G185&amp;"/")-1)), VALUE(MID(G185,FIND("/",G185)+1, LEN(G185)))), {16,18,19,20,22,24,26,28}, {0.0143,0.0229,0.0307,0.0363,0.0338,0.03,0.0193,0.0026})), 0)</f>
        <v>558</v>
      </c>
      <c r="O181" s="1">
        <v>550</v>
      </c>
    </row>
    <row r="182" spans="1:15" ht="21" customHeight="1">
      <c r="A182" s="41"/>
      <c r="B182" s="50"/>
      <c r="C182" s="50"/>
      <c r="D182" s="48">
        <v>2</v>
      </c>
      <c r="E182" s="44" t="s">
        <v>117</v>
      </c>
      <c r="F182" s="44" t="s">
        <v>118</v>
      </c>
      <c r="G182" s="44">
        <v>16</v>
      </c>
      <c r="H182" s="45">
        <v>0</v>
      </c>
      <c r="I182" s="15">
        <v>0</v>
      </c>
      <c r="J182" s="15">
        <f t="shared" si="9"/>
        <v>0</v>
      </c>
      <c r="K182" s="15">
        <f t="shared" si="10"/>
        <v>0</v>
      </c>
      <c r="L182" s="44" t="str">
        <f t="shared" si="8"/>
        <v>2VLPA16</v>
      </c>
      <c r="M182" s="46" t="s">
        <v>119</v>
      </c>
      <c r="N182" s="1">
        <f>ROUNDUP(O182 * (1 + LOOKUP(MIN(VALUE(LEFT(G186,FIND("/",G186&amp;"/")-1)), VALUE(MID(G186,FIND("/",G186)+1, LEN(G186)))), {16,18,19,20,22,24,26,28}, {0.0143,0.0229,0.0307,0.0363,0.0338,0.03,0.0193,0.0026})), 0)</f>
        <v>558</v>
      </c>
      <c r="O182" s="1">
        <v>550</v>
      </c>
    </row>
    <row r="183" spans="1:15" ht="21" customHeight="1">
      <c r="A183" s="41"/>
      <c r="B183" s="50"/>
      <c r="C183" s="50"/>
      <c r="D183" s="48">
        <v>3</v>
      </c>
      <c r="E183" s="44" t="s">
        <v>117</v>
      </c>
      <c r="F183" s="44" t="s">
        <v>120</v>
      </c>
      <c r="G183" s="44" t="s">
        <v>53</v>
      </c>
      <c r="H183" s="45">
        <v>0</v>
      </c>
      <c r="I183" s="15">
        <v>0</v>
      </c>
      <c r="J183" s="15">
        <f t="shared" si="9"/>
        <v>0</v>
      </c>
      <c r="K183" s="15">
        <f>IF(J183=0, 0, J183+3)</f>
        <v>0</v>
      </c>
      <c r="L183" s="44" t="str">
        <f t="shared" si="8"/>
        <v>3VLPA20/18</v>
      </c>
      <c r="M183" s="46" t="s">
        <v>119</v>
      </c>
      <c r="N183" s="1">
        <f>ROUNDUP(O183 * (1 + LOOKUP(G187, {16,18,19,20,22,24,26,28}, {0.0143,0.0229,0.0307,0.0363,0.0338,0.03,0.0193,0.0026})), 0)</f>
        <v>363</v>
      </c>
      <c r="O183" s="1">
        <v>350</v>
      </c>
    </row>
    <row r="184" spans="1:15" ht="21" customHeight="1">
      <c r="A184" s="41"/>
      <c r="B184" s="50"/>
      <c r="C184" s="50"/>
      <c r="D184" s="48">
        <v>3</v>
      </c>
      <c r="E184" s="44" t="s">
        <v>117</v>
      </c>
      <c r="F184" s="44" t="s">
        <v>120</v>
      </c>
      <c r="G184" s="44" t="s">
        <v>55</v>
      </c>
      <c r="H184" s="45">
        <v>0</v>
      </c>
      <c r="I184" s="15">
        <v>0</v>
      </c>
      <c r="J184" s="15">
        <f t="shared" si="9"/>
        <v>0</v>
      </c>
      <c r="K184" s="15">
        <f>IF(J184=0, 0, J184+3)</f>
        <v>0</v>
      </c>
      <c r="L184" s="44" t="str">
        <f t="shared" si="8"/>
        <v>3VLPA18/20</v>
      </c>
      <c r="M184" s="46" t="s">
        <v>119</v>
      </c>
      <c r="N184" s="1">
        <f>ROUNDUP(O184 * (1 + LOOKUP(G188, {16,18,19,20,22,24,26,28}, {0.0143,0.0229,0.0307,0.0363,0.0338,0.03,0.0193,0.0026})), 0)</f>
        <v>512</v>
      </c>
      <c r="O184" s="1">
        <v>500</v>
      </c>
    </row>
    <row r="185" spans="1:15" ht="21" customHeight="1">
      <c r="A185" s="41"/>
      <c r="B185" s="50"/>
      <c r="C185" s="50"/>
      <c r="D185" s="48">
        <v>3</v>
      </c>
      <c r="E185" s="44" t="s">
        <v>117</v>
      </c>
      <c r="F185" s="44" t="s">
        <v>120</v>
      </c>
      <c r="G185" s="44" t="s">
        <v>56</v>
      </c>
      <c r="H185" s="45">
        <v>0</v>
      </c>
      <c r="I185" s="15">
        <v>0</v>
      </c>
      <c r="J185" s="15">
        <f t="shared" si="9"/>
        <v>0</v>
      </c>
      <c r="K185" s="15">
        <f t="shared" ref="K185:K199" si="11">IF(J185=0, 0, J185+3)</f>
        <v>0</v>
      </c>
      <c r="L185" s="44" t="str">
        <f t="shared" si="8"/>
        <v>3VLPA18/16</v>
      </c>
      <c r="M185" s="46" t="s">
        <v>119</v>
      </c>
      <c r="N185" s="1">
        <f>ROUNDUP(O185 * (1 + LOOKUP(G189, {16,18,19,20,22,24,26,28}, {0.0143,0.0229,0.0307,0.0363,0.0338,0.03,0.0193,0.0026})), 0)</f>
        <v>609</v>
      </c>
      <c r="O185" s="1">
        <v>600</v>
      </c>
    </row>
    <row r="186" spans="1:15" ht="26.25" customHeight="1">
      <c r="A186" s="41"/>
      <c r="B186" s="50"/>
      <c r="C186" s="50"/>
      <c r="D186" s="48">
        <v>3</v>
      </c>
      <c r="E186" s="44" t="s">
        <v>117</v>
      </c>
      <c r="F186" s="44" t="s">
        <v>120</v>
      </c>
      <c r="G186" s="44" t="s">
        <v>57</v>
      </c>
      <c r="H186" s="45">
        <v>0</v>
      </c>
      <c r="I186" s="15">
        <v>0</v>
      </c>
      <c r="J186" s="15">
        <f t="shared" si="9"/>
        <v>0</v>
      </c>
      <c r="K186" s="15">
        <f t="shared" si="11"/>
        <v>0</v>
      </c>
      <c r="L186" s="44" t="str">
        <f t="shared" si="8"/>
        <v>3VLPA16/18</v>
      </c>
      <c r="M186" s="46" t="s">
        <v>119</v>
      </c>
      <c r="N186" s="1">
        <f>ROUNDUP(O186 * (1 + LOOKUP(G190, {16,18,19,20,22,24,26,28}, {0.0143,0.0229,0.0307,0.0363,0.0338,0.03,0.0193,0.0026})), 0)</f>
        <v>235</v>
      </c>
      <c r="O186" s="1">
        <v>227</v>
      </c>
    </row>
    <row r="187" spans="1:15" ht="26.25" customHeight="1">
      <c r="A187" s="41"/>
      <c r="B187" s="50"/>
      <c r="C187" s="50"/>
      <c r="D187" s="48">
        <v>3</v>
      </c>
      <c r="E187" s="44" t="s">
        <v>117</v>
      </c>
      <c r="F187" s="44" t="s">
        <v>120</v>
      </c>
      <c r="G187" s="44">
        <v>20</v>
      </c>
      <c r="H187" s="45">
        <v>0</v>
      </c>
      <c r="I187" s="15">
        <v>0</v>
      </c>
      <c r="J187" s="15">
        <f t="shared" si="9"/>
        <v>0</v>
      </c>
      <c r="K187" s="15">
        <f t="shared" si="11"/>
        <v>0</v>
      </c>
      <c r="L187" s="44" t="str">
        <f t="shared" si="8"/>
        <v>3VLPA20</v>
      </c>
      <c r="M187" s="46" t="s">
        <v>119</v>
      </c>
      <c r="N187" s="1">
        <f>ROUNDUP(O187 * (1 + LOOKUP(G191, {16,18,19,20,22,24,26,28}, {0.0143,0.0229,0.0307,0.0363,0.0338,0.03,0.0193,0.0026})), 0)</f>
        <v>287</v>
      </c>
      <c r="O187" s="1">
        <v>276</v>
      </c>
    </row>
    <row r="188" spans="1:15" ht="26.25" customHeight="1">
      <c r="A188" s="41"/>
      <c r="B188" s="50"/>
      <c r="C188" s="50"/>
      <c r="D188" s="48">
        <v>3</v>
      </c>
      <c r="E188" s="44" t="s">
        <v>117</v>
      </c>
      <c r="F188" s="44" t="s">
        <v>120</v>
      </c>
      <c r="G188" s="44">
        <v>18</v>
      </c>
      <c r="H188" s="45">
        <v>0</v>
      </c>
      <c r="I188" s="15">
        <v>0</v>
      </c>
      <c r="J188" s="15">
        <f t="shared" si="9"/>
        <v>0</v>
      </c>
      <c r="K188" s="15">
        <f t="shared" si="11"/>
        <v>0</v>
      </c>
      <c r="L188" s="44" t="str">
        <f t="shared" si="8"/>
        <v>3VLPA18</v>
      </c>
      <c r="M188" s="46" t="s">
        <v>119</v>
      </c>
      <c r="N188" s="1">
        <f>ROUNDUP(O188 * (1 + LOOKUP(G192, {16,18,19,20,22,24,26,28}, {0.0143,0.0229,0.0307,0.0363,0.0338,0.03,0.0193,0.0026})), 0)</f>
        <v>376</v>
      </c>
      <c r="O188" s="1">
        <v>366.7</v>
      </c>
    </row>
    <row r="189" spans="1:15" ht="26.25" customHeight="1">
      <c r="A189" s="41"/>
      <c r="B189" s="50"/>
      <c r="C189" s="50"/>
      <c r="D189" s="48">
        <v>3</v>
      </c>
      <c r="E189" s="44" t="s">
        <v>117</v>
      </c>
      <c r="F189" s="44" t="s">
        <v>120</v>
      </c>
      <c r="G189" s="44">
        <v>16</v>
      </c>
      <c r="H189" s="45">
        <v>0</v>
      </c>
      <c r="I189" s="15">
        <v>0</v>
      </c>
      <c r="J189" s="15">
        <f t="shared" si="9"/>
        <v>0</v>
      </c>
      <c r="K189" s="15">
        <f t="shared" si="11"/>
        <v>0</v>
      </c>
      <c r="L189" s="44" t="str">
        <f t="shared" si="8"/>
        <v>3VLPA16</v>
      </c>
      <c r="M189" s="46" t="s">
        <v>119</v>
      </c>
      <c r="N189" s="1">
        <f>ROUNDUP(O189 * (1 + LOOKUP(G193, {16,18,19,20,22,24,26,28}, {0.0143,0.0229,0.0307,0.0363,0.0338,0.03,0.0193,0.0026})), 0)</f>
        <v>472</v>
      </c>
      <c r="O189" s="1">
        <v>464.5</v>
      </c>
    </row>
    <row r="190" spans="1:15" ht="26.25" customHeight="1">
      <c r="A190" s="51" t="s">
        <v>121</v>
      </c>
      <c r="B190" s="52" t="s">
        <v>34</v>
      </c>
      <c r="C190" s="53" t="s">
        <v>15</v>
      </c>
      <c r="D190" s="54">
        <v>2</v>
      </c>
      <c r="E190" s="54" t="s">
        <v>122</v>
      </c>
      <c r="F190" s="54" t="s">
        <v>123</v>
      </c>
      <c r="G190" s="54">
        <v>22</v>
      </c>
      <c r="H190" s="55">
        <v>0</v>
      </c>
      <c r="I190" s="15">
        <v>0</v>
      </c>
      <c r="J190" s="15">
        <f t="shared" si="9"/>
        <v>0</v>
      </c>
      <c r="K190" s="15">
        <f t="shared" si="11"/>
        <v>0</v>
      </c>
      <c r="L190" s="54" t="str">
        <f t="shared" si="8"/>
        <v>2D22</v>
      </c>
      <c r="M190" s="56" t="s">
        <v>23</v>
      </c>
      <c r="N190" s="1">
        <f>ROUNDUP(O190 * (1 + LOOKUP(G194, {16,18,19,20,22,24,26,28}, {0.0143,0.0229,0.0307,0.0363,0.0338,0.03,0.0193,0.0026})), 0)</f>
        <v>347</v>
      </c>
      <c r="O190" s="1">
        <v>334</v>
      </c>
    </row>
    <row r="191" spans="1:15" ht="26.25" customHeight="1">
      <c r="A191" s="51"/>
      <c r="B191" s="52"/>
      <c r="C191" s="53"/>
      <c r="D191" s="54">
        <v>2</v>
      </c>
      <c r="E191" s="54" t="s">
        <v>122</v>
      </c>
      <c r="F191" s="54" t="s">
        <v>123</v>
      </c>
      <c r="G191" s="54">
        <v>20</v>
      </c>
      <c r="H191" s="55">
        <v>0</v>
      </c>
      <c r="I191" s="15">
        <v>0</v>
      </c>
      <c r="J191" s="15">
        <f t="shared" si="9"/>
        <v>0</v>
      </c>
      <c r="K191" s="15">
        <f t="shared" si="11"/>
        <v>0</v>
      </c>
      <c r="L191" s="54" t="str">
        <f t="shared" si="8"/>
        <v>2D20</v>
      </c>
      <c r="M191" s="56" t="s">
        <v>23</v>
      </c>
      <c r="N191" s="1">
        <f>ROUNDUP(O191 * (1 + LOOKUP(G195, {16,18,19,20,22,24,26,28}, {0.0143,0.0229,0.0307,0.0363,0.0338,0.03,0.0193,0.0026})), 0)</f>
        <v>454</v>
      </c>
      <c r="O191" s="1">
        <v>443.2</v>
      </c>
    </row>
    <row r="192" spans="1:15" ht="26.25" customHeight="1">
      <c r="A192" s="51"/>
      <c r="B192" s="52"/>
      <c r="C192" s="53"/>
      <c r="D192" s="54">
        <v>2</v>
      </c>
      <c r="E192" s="54" t="s">
        <v>122</v>
      </c>
      <c r="F192" s="54" t="s">
        <v>123</v>
      </c>
      <c r="G192" s="54">
        <v>18</v>
      </c>
      <c r="H192" s="55">
        <v>0</v>
      </c>
      <c r="I192" s="15">
        <v>0</v>
      </c>
      <c r="J192" s="15">
        <f t="shared" si="9"/>
        <v>0</v>
      </c>
      <c r="K192" s="15">
        <f t="shared" si="11"/>
        <v>0</v>
      </c>
      <c r="L192" s="54" t="str">
        <f t="shared" si="8"/>
        <v>2D18</v>
      </c>
      <c r="M192" s="56" t="s">
        <v>23</v>
      </c>
      <c r="N192" s="1">
        <f>ROUNDUP(O192 * (1 + LOOKUP(G196, {16,18,19,20,22,24,26,28}, {0.0143,0.0229,0.0307,0.0363,0.0338,0.03,0.0193,0.0026})), 0)</f>
        <v>569</v>
      </c>
      <c r="O192" s="1">
        <v>560.5</v>
      </c>
    </row>
    <row r="193" spans="1:15" ht="26.25" customHeight="1">
      <c r="A193" s="51"/>
      <c r="B193" s="52"/>
      <c r="C193" s="53"/>
      <c r="D193" s="54">
        <v>2</v>
      </c>
      <c r="E193" s="54" t="s">
        <v>122</v>
      </c>
      <c r="F193" s="54" t="s">
        <v>123</v>
      </c>
      <c r="G193" s="54">
        <v>16</v>
      </c>
      <c r="H193" s="55">
        <v>0</v>
      </c>
      <c r="I193" s="15">
        <v>0</v>
      </c>
      <c r="J193" s="15">
        <f t="shared" si="9"/>
        <v>0</v>
      </c>
      <c r="K193" s="15">
        <f t="shared" si="11"/>
        <v>0</v>
      </c>
      <c r="L193" s="54" t="str">
        <f t="shared" si="8"/>
        <v>2D16</v>
      </c>
      <c r="M193" s="56" t="s">
        <v>23</v>
      </c>
      <c r="N193" s="1">
        <f>ROUNDUP(O193 * (1 + LOOKUP(G197, {16,18,19,20,22,24,26,28}, {0.0143,0.0229,0.0307,0.0363,0.0338,0.03,0.0193,0.0026})), 0)</f>
        <v>235</v>
      </c>
      <c r="O193" s="1">
        <v>227</v>
      </c>
    </row>
    <row r="194" spans="1:15" ht="26.25" customHeight="1">
      <c r="A194" s="51"/>
      <c r="B194" s="52"/>
      <c r="C194" s="53"/>
      <c r="D194" s="54">
        <v>3.5</v>
      </c>
      <c r="E194" s="54" t="s">
        <v>122</v>
      </c>
      <c r="F194" s="54" t="s">
        <v>124</v>
      </c>
      <c r="G194" s="54">
        <v>20</v>
      </c>
      <c r="H194" s="55">
        <v>0</v>
      </c>
      <c r="I194" s="15">
        <v>0</v>
      </c>
      <c r="J194" s="15">
        <f t="shared" si="9"/>
        <v>0</v>
      </c>
      <c r="K194" s="15">
        <f t="shared" si="11"/>
        <v>0</v>
      </c>
      <c r="L194" s="54" t="str">
        <f t="shared" si="8"/>
        <v>3.5D20</v>
      </c>
      <c r="M194" s="56" t="s">
        <v>23</v>
      </c>
      <c r="N194" s="1">
        <f>ROUNDUP(O194 * (1 + LOOKUP(G198, {16,18,19,20,22,24,26,28}, {0.0143,0.0229,0.0307,0.0363,0.0338,0.03,0.0193,0.0026})), 0)</f>
        <v>287</v>
      </c>
      <c r="O194" s="1">
        <v>276</v>
      </c>
    </row>
    <row r="195" spans="1:15" ht="26.25" customHeight="1">
      <c r="A195" s="51"/>
      <c r="B195" s="52"/>
      <c r="C195" s="53"/>
      <c r="D195" s="54">
        <v>3.5</v>
      </c>
      <c r="E195" s="54" t="s">
        <v>122</v>
      </c>
      <c r="F195" s="54" t="s">
        <v>124</v>
      </c>
      <c r="G195" s="54">
        <v>18</v>
      </c>
      <c r="H195" s="55">
        <v>0</v>
      </c>
      <c r="I195" s="15">
        <v>0</v>
      </c>
      <c r="J195" s="15">
        <f t="shared" si="9"/>
        <v>0</v>
      </c>
      <c r="K195" s="15">
        <f t="shared" si="11"/>
        <v>0</v>
      </c>
      <c r="L195" s="54" t="str">
        <f t="shared" ref="L195:L258" si="12">D195&amp;E195&amp;G195</f>
        <v>3.5D18</v>
      </c>
      <c r="M195" s="56" t="s">
        <v>23</v>
      </c>
      <c r="N195" s="1">
        <f>ROUNDUP(O195 * (1 + LOOKUP(G199, {16,18,19,20,22,24,26,28}, {0.0143,0.0229,0.0307,0.0363,0.0338,0.03,0.0193,0.0026})), 0)</f>
        <v>376</v>
      </c>
      <c r="O195" s="1">
        <v>366.7</v>
      </c>
    </row>
    <row r="196" spans="1:15" ht="26.25" customHeight="1">
      <c r="A196" s="51"/>
      <c r="B196" s="52"/>
      <c r="C196" s="53"/>
      <c r="D196" s="54">
        <v>3.5</v>
      </c>
      <c r="E196" s="54" t="s">
        <v>122</v>
      </c>
      <c r="F196" s="54" t="s">
        <v>124</v>
      </c>
      <c r="G196" s="54">
        <v>16</v>
      </c>
      <c r="H196" s="55">
        <v>0</v>
      </c>
      <c r="I196" s="15">
        <v>0</v>
      </c>
      <c r="J196" s="15">
        <f t="shared" si="9"/>
        <v>0</v>
      </c>
      <c r="K196" s="15">
        <f t="shared" si="11"/>
        <v>0</v>
      </c>
      <c r="L196" s="54" t="str">
        <f t="shared" si="12"/>
        <v>3.5D16</v>
      </c>
      <c r="M196" s="56" t="s">
        <v>23</v>
      </c>
      <c r="N196" s="1">
        <f>ROUNDUP(O196 * (1 + LOOKUP(G200, {16,18,19,20,22,24,26,28}, {0.0143,0.0229,0.0307,0.0363,0.0338,0.03,0.0193,0.0026})), 0)</f>
        <v>472</v>
      </c>
      <c r="O196" s="1">
        <v>464.5</v>
      </c>
    </row>
    <row r="197" spans="1:15" ht="26.25" customHeight="1">
      <c r="A197" s="51"/>
      <c r="B197" s="52"/>
      <c r="C197" s="57" t="s">
        <v>44</v>
      </c>
      <c r="D197" s="54">
        <v>2</v>
      </c>
      <c r="E197" s="54" t="s">
        <v>125</v>
      </c>
      <c r="F197" s="54" t="s">
        <v>123</v>
      </c>
      <c r="G197" s="54">
        <v>22</v>
      </c>
      <c r="H197" s="55">
        <v>0</v>
      </c>
      <c r="I197" s="15">
        <v>0</v>
      </c>
      <c r="J197" s="15">
        <f t="shared" si="9"/>
        <v>0</v>
      </c>
      <c r="K197" s="15">
        <f t="shared" si="11"/>
        <v>0</v>
      </c>
      <c r="L197" s="54" t="str">
        <f t="shared" si="12"/>
        <v>2DA22</v>
      </c>
      <c r="M197" s="56" t="s">
        <v>126</v>
      </c>
      <c r="N197" s="1">
        <f>ROUNDUP(O197 * (1 + LOOKUP(G201, {16,18,19,20,22,24,26,28}, {0.0143,0.0229,0.0307,0.0363,0.0338,0.03,0.0193,0.0026})), 0)</f>
        <v>347</v>
      </c>
      <c r="O197" s="1">
        <v>334</v>
      </c>
    </row>
    <row r="198" spans="1:15" ht="26.25" customHeight="1">
      <c r="A198" s="51"/>
      <c r="B198" s="52"/>
      <c r="C198" s="57"/>
      <c r="D198" s="54">
        <v>2</v>
      </c>
      <c r="E198" s="54" t="s">
        <v>125</v>
      </c>
      <c r="F198" s="54" t="s">
        <v>123</v>
      </c>
      <c r="G198" s="54">
        <v>20</v>
      </c>
      <c r="H198" s="55">
        <v>0</v>
      </c>
      <c r="I198" s="15">
        <v>0</v>
      </c>
      <c r="J198" s="15">
        <f t="shared" si="9"/>
        <v>0</v>
      </c>
      <c r="K198" s="15">
        <f t="shared" si="11"/>
        <v>0</v>
      </c>
      <c r="L198" s="54" t="str">
        <f t="shared" si="12"/>
        <v>2DA20</v>
      </c>
      <c r="M198" s="56" t="s">
        <v>126</v>
      </c>
      <c r="N198" s="1">
        <f>ROUNDUP(O198 * (1 + LOOKUP(G202, {16,18,19,20,22,24,26,28}, {0.0143,0.0229,0.0307,0.0363,0.0338,0.03,0.0193,0.0026})), 0)</f>
        <v>454</v>
      </c>
      <c r="O198" s="1">
        <v>443.2</v>
      </c>
    </row>
    <row r="199" spans="1:15" ht="26.25" customHeight="1">
      <c r="A199" s="51"/>
      <c r="B199" s="52"/>
      <c r="C199" s="57"/>
      <c r="D199" s="54">
        <v>2</v>
      </c>
      <c r="E199" s="54" t="s">
        <v>125</v>
      </c>
      <c r="F199" s="54" t="s">
        <v>123</v>
      </c>
      <c r="G199" s="54">
        <v>18</v>
      </c>
      <c r="H199" s="55">
        <v>0</v>
      </c>
      <c r="I199" s="15">
        <v>0</v>
      </c>
      <c r="J199" s="15">
        <f t="shared" si="9"/>
        <v>0</v>
      </c>
      <c r="K199" s="15">
        <f t="shared" si="11"/>
        <v>0</v>
      </c>
      <c r="L199" s="54" t="str">
        <f t="shared" si="12"/>
        <v>2DA18</v>
      </c>
      <c r="M199" s="56" t="s">
        <v>126</v>
      </c>
      <c r="N199" s="1">
        <f>ROUNDUP(O199 * (1 + LOOKUP(G203, {16,18,19,20,22,24,26,28}, {0.0143,0.0229,0.0307,0.0363,0.0338,0.03,0.0193,0.0026})), 0)</f>
        <v>569</v>
      </c>
      <c r="O199" s="1">
        <v>560.5</v>
      </c>
    </row>
    <row r="200" spans="1:15" ht="26.25" customHeight="1">
      <c r="A200" s="51"/>
      <c r="B200" s="52"/>
      <c r="C200" s="57"/>
      <c r="D200" s="54">
        <v>2</v>
      </c>
      <c r="E200" s="54" t="s">
        <v>125</v>
      </c>
      <c r="F200" s="54" t="s">
        <v>123</v>
      </c>
      <c r="G200" s="54">
        <v>16</v>
      </c>
      <c r="H200" s="55">
        <v>0</v>
      </c>
      <c r="I200" s="15">
        <v>0</v>
      </c>
      <c r="J200" s="15">
        <f t="shared" si="9"/>
        <v>0</v>
      </c>
      <c r="K200" s="15">
        <f>IF(J200=0, 0, J200+3)</f>
        <v>0</v>
      </c>
      <c r="L200" s="54" t="str">
        <f t="shared" si="12"/>
        <v>2DA16</v>
      </c>
      <c r="M200" s="56" t="s">
        <v>126</v>
      </c>
      <c r="N200" s="1">
        <f>ROUNDUP(O200 * (1 + LOOKUP(G204, {16,18,19,20,22,24,26,28}, {0.0143,0.0229,0.0307,0.0363,0.0338,0.03,0.0193,0.0026})), 0)</f>
        <v>235</v>
      </c>
      <c r="O200" s="1">
        <v>227</v>
      </c>
    </row>
    <row r="201" spans="1:15" ht="26.25" customHeight="1">
      <c r="A201" s="51"/>
      <c r="B201" s="52"/>
      <c r="C201" s="57"/>
      <c r="D201" s="54">
        <v>3.5</v>
      </c>
      <c r="E201" s="54" t="s">
        <v>125</v>
      </c>
      <c r="F201" s="54" t="s">
        <v>124</v>
      </c>
      <c r="G201" s="54">
        <v>20</v>
      </c>
      <c r="H201" s="55">
        <v>0</v>
      </c>
      <c r="I201" s="15">
        <v>0</v>
      </c>
      <c r="J201" s="15">
        <f t="shared" si="9"/>
        <v>0</v>
      </c>
      <c r="K201" s="15">
        <f>IF(J201=0, 0, J201+3)</f>
        <v>0</v>
      </c>
      <c r="L201" s="54" t="str">
        <f t="shared" si="12"/>
        <v>3.5DA20</v>
      </c>
      <c r="M201" s="56" t="s">
        <v>126</v>
      </c>
      <c r="N201" s="1">
        <f>ROUNDUP(O201 * (1 + LOOKUP(G205, {16,18,19,20,22,24,26,28}, {0.0143,0.0229,0.0307,0.0363,0.0338,0.03,0.0193,0.0026})), 0)</f>
        <v>287</v>
      </c>
      <c r="O201" s="1">
        <v>276</v>
      </c>
    </row>
    <row r="202" spans="1:15" ht="26.25" customHeight="1">
      <c r="A202" s="51"/>
      <c r="B202" s="52"/>
      <c r="C202" s="57"/>
      <c r="D202" s="54">
        <v>3.5</v>
      </c>
      <c r="E202" s="54" t="s">
        <v>125</v>
      </c>
      <c r="F202" s="54" t="s">
        <v>124</v>
      </c>
      <c r="G202" s="54">
        <v>18</v>
      </c>
      <c r="H202" s="55">
        <v>0</v>
      </c>
      <c r="I202" s="15">
        <v>0</v>
      </c>
      <c r="J202" s="15">
        <f t="shared" si="9"/>
        <v>0</v>
      </c>
      <c r="K202" s="15">
        <f t="shared" ref="K202:K217" si="13">IF(J202=0, 0, J202+3)</f>
        <v>0</v>
      </c>
      <c r="L202" s="54" t="str">
        <f t="shared" si="12"/>
        <v>3.5DA18</v>
      </c>
      <c r="M202" s="56" t="s">
        <v>126</v>
      </c>
      <c r="N202" s="1">
        <f>ROUNDUP(O202 * (1 + LOOKUP(G206, {16,18,19,20,22,24,26,28}, {0.0143,0.0229,0.0307,0.0363,0.0338,0.03,0.0193,0.0026})), 0)</f>
        <v>376</v>
      </c>
      <c r="O202" s="1">
        <v>366.7</v>
      </c>
    </row>
    <row r="203" spans="1:15" ht="26.25" customHeight="1">
      <c r="A203" s="51"/>
      <c r="B203" s="52"/>
      <c r="C203" s="57"/>
      <c r="D203" s="54">
        <v>3.5</v>
      </c>
      <c r="E203" s="54" t="s">
        <v>125</v>
      </c>
      <c r="F203" s="54" t="s">
        <v>124</v>
      </c>
      <c r="G203" s="54">
        <v>16</v>
      </c>
      <c r="H203" s="55">
        <v>0</v>
      </c>
      <c r="I203" s="15">
        <v>0</v>
      </c>
      <c r="J203" s="15">
        <f t="shared" si="9"/>
        <v>0</v>
      </c>
      <c r="K203" s="15">
        <f t="shared" si="13"/>
        <v>0</v>
      </c>
      <c r="L203" s="54" t="str">
        <f t="shared" si="12"/>
        <v>3.5DA16</v>
      </c>
      <c r="M203" s="56" t="s">
        <v>126</v>
      </c>
      <c r="N203" s="1">
        <f>ROUNDUP(O203 * (1 + LOOKUP(G207, {16,18,19,20,22,24,26,28}, {0.0143,0.0229,0.0307,0.0363,0.0338,0.03,0.0193,0.0026})), 0)</f>
        <v>472</v>
      </c>
      <c r="O203" s="1">
        <v>464.5</v>
      </c>
    </row>
    <row r="204" spans="1:15" ht="26.25" customHeight="1">
      <c r="A204" s="51"/>
      <c r="B204" s="58" t="s">
        <v>98</v>
      </c>
      <c r="C204" s="53" t="s">
        <v>15</v>
      </c>
      <c r="D204" s="54">
        <v>2</v>
      </c>
      <c r="E204" s="54" t="s">
        <v>127</v>
      </c>
      <c r="F204" s="54" t="s">
        <v>128</v>
      </c>
      <c r="G204" s="54">
        <v>22</v>
      </c>
      <c r="H204" s="55">
        <v>0</v>
      </c>
      <c r="I204" s="15">
        <v>0</v>
      </c>
      <c r="J204" s="15">
        <f t="shared" si="9"/>
        <v>0</v>
      </c>
      <c r="K204" s="15">
        <f t="shared" si="13"/>
        <v>0</v>
      </c>
      <c r="L204" s="54" t="str">
        <f t="shared" si="12"/>
        <v>2D FormLok 22</v>
      </c>
      <c r="M204" s="56" t="s">
        <v>129</v>
      </c>
      <c r="N204" s="1">
        <f>ROUNDUP(O204 * (1 + LOOKUP(G208, {16,18,19,20,22,24,26,28}, {0.0143,0.0229,0.0307,0.0363,0.0338,0.03,0.0193,0.0026})), 0)</f>
        <v>347</v>
      </c>
      <c r="O204" s="1">
        <v>334</v>
      </c>
    </row>
    <row r="205" spans="1:15" ht="26.25" customHeight="1">
      <c r="A205" s="51"/>
      <c r="B205" s="58"/>
      <c r="C205" s="53"/>
      <c r="D205" s="54">
        <v>2</v>
      </c>
      <c r="E205" s="54" t="s">
        <v>127</v>
      </c>
      <c r="F205" s="54" t="s">
        <v>128</v>
      </c>
      <c r="G205" s="54">
        <v>20</v>
      </c>
      <c r="H205" s="55">
        <v>0</v>
      </c>
      <c r="I205" s="15">
        <v>0</v>
      </c>
      <c r="J205" s="15">
        <f t="shared" si="9"/>
        <v>0</v>
      </c>
      <c r="K205" s="15">
        <f t="shared" si="13"/>
        <v>0</v>
      </c>
      <c r="L205" s="54" t="str">
        <f t="shared" si="12"/>
        <v>2D FormLok 20</v>
      </c>
      <c r="M205" s="56" t="s">
        <v>129</v>
      </c>
      <c r="N205" s="1">
        <f>ROUNDUP(O205 * (1 + LOOKUP(G209, {16,18,19,20,22,24,26,28}, {0.0143,0.0229,0.0307,0.0363,0.0338,0.03,0.0193,0.0026})), 0)</f>
        <v>454</v>
      </c>
      <c r="O205" s="1">
        <v>443.2</v>
      </c>
    </row>
    <row r="206" spans="1:15" ht="26.25" customHeight="1">
      <c r="A206" s="51"/>
      <c r="B206" s="58"/>
      <c r="C206" s="53"/>
      <c r="D206" s="54">
        <v>2</v>
      </c>
      <c r="E206" s="54" t="s">
        <v>127</v>
      </c>
      <c r="F206" s="54" t="s">
        <v>128</v>
      </c>
      <c r="G206" s="54">
        <v>18</v>
      </c>
      <c r="H206" s="55">
        <v>0</v>
      </c>
      <c r="I206" s="15">
        <v>0</v>
      </c>
      <c r="J206" s="15">
        <f t="shared" si="9"/>
        <v>0</v>
      </c>
      <c r="K206" s="15">
        <f t="shared" si="13"/>
        <v>0</v>
      </c>
      <c r="L206" s="54" t="str">
        <f t="shared" si="12"/>
        <v>2D FormLok 18</v>
      </c>
      <c r="M206" s="56" t="s">
        <v>129</v>
      </c>
      <c r="N206" s="1">
        <f>ROUNDUP(O206 * (1 + LOOKUP(G210, {16,18,19,20,22,24,26,28}, {0.0143,0.0229,0.0307,0.0363,0.0338,0.03,0.0193,0.0026})), 0)</f>
        <v>569</v>
      </c>
      <c r="O206" s="1">
        <v>560.5</v>
      </c>
    </row>
    <row r="207" spans="1:15" ht="22">
      <c r="A207" s="51"/>
      <c r="B207" s="58"/>
      <c r="C207" s="53"/>
      <c r="D207" s="54">
        <v>2</v>
      </c>
      <c r="E207" s="54" t="s">
        <v>127</v>
      </c>
      <c r="F207" s="54" t="s">
        <v>128</v>
      </c>
      <c r="G207" s="54">
        <v>16</v>
      </c>
      <c r="H207" s="55">
        <v>0</v>
      </c>
      <c r="I207" s="15">
        <v>0</v>
      </c>
      <c r="J207" s="15">
        <f t="shared" si="9"/>
        <v>0</v>
      </c>
      <c r="K207" s="15">
        <f t="shared" si="13"/>
        <v>0</v>
      </c>
      <c r="L207" s="54" t="str">
        <f t="shared" si="12"/>
        <v>2D FormLok 16</v>
      </c>
      <c r="M207" s="56" t="s">
        <v>129</v>
      </c>
      <c r="N207" s="1">
        <f>ROUNDUP(O207 * (1 + LOOKUP(G211, {16,18,19,20,22,24,26,28}, {0.0143,0.0229,0.0307,0.0363,0.0338,0.03,0.0193,0.0026})), 0)</f>
        <v>235</v>
      </c>
      <c r="O207" s="1">
        <v>227</v>
      </c>
    </row>
    <row r="208" spans="1:15" ht="26.25" customHeight="1">
      <c r="A208" s="51"/>
      <c r="B208" s="58"/>
      <c r="C208" s="53"/>
      <c r="D208" s="54">
        <v>3.5</v>
      </c>
      <c r="E208" s="54" t="s">
        <v>127</v>
      </c>
      <c r="F208" s="54" t="s">
        <v>130</v>
      </c>
      <c r="G208" s="54">
        <v>20</v>
      </c>
      <c r="H208" s="55">
        <v>0</v>
      </c>
      <c r="I208" s="15">
        <v>0</v>
      </c>
      <c r="J208" s="15">
        <f t="shared" si="9"/>
        <v>0</v>
      </c>
      <c r="K208" s="15">
        <f t="shared" si="13"/>
        <v>0</v>
      </c>
      <c r="L208" s="54" t="str">
        <f t="shared" si="12"/>
        <v>3.5D FormLok 20</v>
      </c>
      <c r="M208" s="56" t="s">
        <v>129</v>
      </c>
      <c r="N208" s="1">
        <f>ROUNDUP(O208 * (1 + LOOKUP(G212, {16,18,19,20,22,24,26,28}, {0.0143,0.0229,0.0307,0.0363,0.0338,0.03,0.0193,0.0026})), 0)</f>
        <v>287</v>
      </c>
      <c r="O208" s="1">
        <v>276</v>
      </c>
    </row>
    <row r="209" spans="1:15" ht="26.25" customHeight="1">
      <c r="A209" s="51"/>
      <c r="B209" s="58"/>
      <c r="C209" s="53"/>
      <c r="D209" s="54">
        <v>3.5</v>
      </c>
      <c r="E209" s="54" t="s">
        <v>127</v>
      </c>
      <c r="F209" s="54" t="s">
        <v>130</v>
      </c>
      <c r="G209" s="54">
        <v>18</v>
      </c>
      <c r="H209" s="55">
        <v>0</v>
      </c>
      <c r="I209" s="15">
        <v>0</v>
      </c>
      <c r="J209" s="15">
        <f t="shared" si="9"/>
        <v>0</v>
      </c>
      <c r="K209" s="15">
        <f t="shared" si="13"/>
        <v>0</v>
      </c>
      <c r="L209" s="54" t="str">
        <f t="shared" si="12"/>
        <v>3.5D FormLok 18</v>
      </c>
      <c r="M209" s="56" t="s">
        <v>129</v>
      </c>
      <c r="N209" s="1">
        <f>ROUNDUP(O209 * (1 + LOOKUP(G213, {16,18,19,20,22,24,26,28}, {0.0143,0.0229,0.0307,0.0363,0.0338,0.03,0.0193,0.0026})), 0)</f>
        <v>376</v>
      </c>
      <c r="O209" s="1">
        <v>366.7</v>
      </c>
    </row>
    <row r="210" spans="1:15" ht="26.25" customHeight="1">
      <c r="A210" s="51"/>
      <c r="B210" s="58"/>
      <c r="C210" s="53"/>
      <c r="D210" s="54">
        <v>3.5</v>
      </c>
      <c r="E210" s="54" t="s">
        <v>127</v>
      </c>
      <c r="F210" s="54" t="s">
        <v>130</v>
      </c>
      <c r="G210" s="54">
        <v>16</v>
      </c>
      <c r="H210" s="55">
        <v>0</v>
      </c>
      <c r="I210" s="15">
        <v>0</v>
      </c>
      <c r="J210" s="15">
        <f t="shared" si="9"/>
        <v>0</v>
      </c>
      <c r="K210" s="15">
        <f t="shared" si="13"/>
        <v>0</v>
      </c>
      <c r="L210" s="54" t="str">
        <f t="shared" si="12"/>
        <v>3.5D FormLok 16</v>
      </c>
      <c r="M210" s="56" t="s">
        <v>129</v>
      </c>
      <c r="N210" s="1">
        <f>ROUNDUP(O210 * (1 + LOOKUP(G214, {16,18,19,20,22,24,26,28}, {0.0143,0.0229,0.0307,0.0363,0.0338,0.03,0.0193,0.0026})), 0)</f>
        <v>472</v>
      </c>
      <c r="O210" s="1">
        <v>464.5</v>
      </c>
    </row>
    <row r="211" spans="1:15" ht="26.25" customHeight="1">
      <c r="A211" s="51"/>
      <c r="B211" s="58"/>
      <c r="C211" s="57" t="s">
        <v>44</v>
      </c>
      <c r="D211" s="54">
        <v>2</v>
      </c>
      <c r="E211" s="54" t="s">
        <v>131</v>
      </c>
      <c r="F211" s="54" t="s">
        <v>132</v>
      </c>
      <c r="G211" s="54">
        <v>22</v>
      </c>
      <c r="H211" s="55">
        <v>0</v>
      </c>
      <c r="I211" s="15">
        <v>0</v>
      </c>
      <c r="J211" s="15">
        <f t="shared" si="9"/>
        <v>0</v>
      </c>
      <c r="K211" s="15">
        <f t="shared" si="13"/>
        <v>0</v>
      </c>
      <c r="L211" s="54" t="str">
        <f t="shared" si="12"/>
        <v>2DA FormLok 22</v>
      </c>
      <c r="M211" s="56" t="s">
        <v>133</v>
      </c>
      <c r="N211" s="1">
        <f>ROUNDUP(O211 * (1 + LOOKUP(G215, {16,18,19,20,22,24,26,28}, {0.0143,0.0229,0.0307,0.0363,0.0338,0.03,0.0193,0.0026})), 0)</f>
        <v>347</v>
      </c>
      <c r="O211" s="1">
        <v>334</v>
      </c>
    </row>
    <row r="212" spans="1:15" ht="26.25" customHeight="1">
      <c r="A212" s="51"/>
      <c r="B212" s="58"/>
      <c r="C212" s="57"/>
      <c r="D212" s="54">
        <v>2</v>
      </c>
      <c r="E212" s="54" t="s">
        <v>131</v>
      </c>
      <c r="F212" s="54" t="s">
        <v>132</v>
      </c>
      <c r="G212" s="54">
        <v>20</v>
      </c>
      <c r="H212" s="55">
        <v>0</v>
      </c>
      <c r="I212" s="15">
        <v>0</v>
      </c>
      <c r="J212" s="15">
        <f t="shared" ref="J212:J217" si="14">IF(OR(ISNUMBER(SEARCH("cellular", M212)), ISNUMBER(SEARCH("dovetail", M212))), 0, IF(OR(ISNUMBER(SEARCH("acoustical", M212)), ISNUMBER(SEARCH("vented", M212))), N208 + 2, N208))</f>
        <v>0</v>
      </c>
      <c r="K212" s="15">
        <f t="shared" si="13"/>
        <v>0</v>
      </c>
      <c r="L212" s="54" t="str">
        <f t="shared" si="12"/>
        <v>2DA FormLok 20</v>
      </c>
      <c r="M212" s="56" t="s">
        <v>133</v>
      </c>
      <c r="N212" s="1">
        <f>ROUNDUP(O212 * (1 + LOOKUP(G216, {16,18,19,20,22,24,26,28}, {0.0143,0.0229,0.0307,0.0363,0.0338,0.03,0.0193,0.0026})), 0)</f>
        <v>454</v>
      </c>
      <c r="O212" s="1">
        <v>443.2</v>
      </c>
    </row>
    <row r="213" spans="1:15" ht="26.25" customHeight="1">
      <c r="A213" s="51"/>
      <c r="B213" s="58"/>
      <c r="C213" s="57"/>
      <c r="D213" s="54">
        <v>2</v>
      </c>
      <c r="E213" s="54" t="s">
        <v>131</v>
      </c>
      <c r="F213" s="54" t="s">
        <v>132</v>
      </c>
      <c r="G213" s="54">
        <v>18</v>
      </c>
      <c r="H213" s="55">
        <v>0</v>
      </c>
      <c r="I213" s="15">
        <v>0</v>
      </c>
      <c r="J213" s="15">
        <f t="shared" si="14"/>
        <v>0</v>
      </c>
      <c r="K213" s="15">
        <f t="shared" si="13"/>
        <v>0</v>
      </c>
      <c r="L213" s="54" t="str">
        <f t="shared" si="12"/>
        <v>2DA FormLok 18</v>
      </c>
      <c r="M213" s="56" t="s">
        <v>133</v>
      </c>
      <c r="N213" s="1">
        <f>ROUNDUP(O213 * (1 + LOOKUP(G217, {16,18,19,20,22,24,26,28}, {0.0143,0.0229,0.0307,0.0363,0.0338,0.03,0.0193,0.0026})), 0)</f>
        <v>569</v>
      </c>
      <c r="O213" s="1">
        <v>560.5</v>
      </c>
    </row>
    <row r="214" spans="1:15" ht="22">
      <c r="A214" s="51"/>
      <c r="B214" s="58"/>
      <c r="C214" s="57"/>
      <c r="D214" s="54">
        <v>2</v>
      </c>
      <c r="E214" s="54" t="s">
        <v>131</v>
      </c>
      <c r="F214" s="54" t="s">
        <v>132</v>
      </c>
      <c r="G214" s="54">
        <v>16</v>
      </c>
      <c r="H214" s="55">
        <v>0</v>
      </c>
      <c r="I214" s="15">
        <v>0</v>
      </c>
      <c r="J214" s="15">
        <f t="shared" si="14"/>
        <v>0</v>
      </c>
      <c r="K214" s="15">
        <f t="shared" si="13"/>
        <v>0</v>
      </c>
      <c r="L214" s="54" t="str">
        <f t="shared" si="12"/>
        <v>2DA FormLok 16</v>
      </c>
      <c r="M214" s="56" t="s">
        <v>133</v>
      </c>
    </row>
    <row r="215" spans="1:15" ht="22">
      <c r="A215" s="51"/>
      <c r="B215" s="58"/>
      <c r="C215" s="57"/>
      <c r="D215" s="54">
        <v>3.5</v>
      </c>
      <c r="E215" s="54" t="s">
        <v>131</v>
      </c>
      <c r="F215" s="54" t="s">
        <v>134</v>
      </c>
      <c r="G215" s="54">
        <v>20</v>
      </c>
      <c r="H215" s="55">
        <v>0</v>
      </c>
      <c r="I215" s="15">
        <v>0</v>
      </c>
      <c r="J215" s="15">
        <f t="shared" si="14"/>
        <v>0</v>
      </c>
      <c r="K215" s="15">
        <f t="shared" si="13"/>
        <v>0</v>
      </c>
      <c r="L215" s="54" t="str">
        <f t="shared" si="12"/>
        <v>3.5DA FormLok 20</v>
      </c>
      <c r="M215" s="56" t="s">
        <v>133</v>
      </c>
    </row>
    <row r="216" spans="1:15" ht="22">
      <c r="A216" s="51"/>
      <c r="B216" s="58"/>
      <c r="C216" s="57"/>
      <c r="D216" s="54">
        <v>3.5</v>
      </c>
      <c r="E216" s="54" t="s">
        <v>131</v>
      </c>
      <c r="F216" s="54" t="s">
        <v>134</v>
      </c>
      <c r="G216" s="54">
        <v>18</v>
      </c>
      <c r="H216" s="55">
        <v>0</v>
      </c>
      <c r="I216" s="15">
        <v>0</v>
      </c>
      <c r="J216" s="15">
        <f t="shared" si="14"/>
        <v>0</v>
      </c>
      <c r="K216" s="15">
        <f t="shared" si="13"/>
        <v>0</v>
      </c>
      <c r="L216" s="54" t="str">
        <f t="shared" si="12"/>
        <v>3.5DA FormLok 18</v>
      </c>
      <c r="M216" s="56" t="s">
        <v>133</v>
      </c>
    </row>
    <row r="217" spans="1:15" ht="22">
      <c r="A217" s="51"/>
      <c r="B217" s="58"/>
      <c r="C217" s="57"/>
      <c r="D217" s="54">
        <v>3.5</v>
      </c>
      <c r="E217" s="54" t="s">
        <v>131</v>
      </c>
      <c r="F217" s="54" t="s">
        <v>134</v>
      </c>
      <c r="G217" s="54">
        <v>16</v>
      </c>
      <c r="H217" s="55">
        <v>0</v>
      </c>
      <c r="I217" s="15">
        <v>0</v>
      </c>
      <c r="J217" s="15">
        <f t="shared" si="14"/>
        <v>0</v>
      </c>
      <c r="K217" s="15">
        <f t="shared" si="13"/>
        <v>0</v>
      </c>
      <c r="L217" s="54" t="str">
        <f t="shared" si="12"/>
        <v>3.5DA FormLok 16</v>
      </c>
      <c r="M217" s="56" t="s">
        <v>133</v>
      </c>
    </row>
    <row r="218" spans="1:15">
      <c r="C218" s="59"/>
      <c r="E218" s="3" t="s">
        <v>135</v>
      </c>
    </row>
    <row r="219" spans="1:15">
      <c r="E219" s="3" t="s">
        <v>136</v>
      </c>
    </row>
    <row r="220" spans="1:15">
      <c r="L220" s="3" t="str">
        <f t="shared" ref="L220:L258" si="15">D220&amp;E220&amp;G220</f>
        <v/>
      </c>
    </row>
    <row r="221" spans="1:15">
      <c r="L221" s="3" t="str">
        <f t="shared" si="15"/>
        <v/>
      </c>
    </row>
    <row r="222" spans="1:15">
      <c r="L222" s="3" t="str">
        <f t="shared" si="15"/>
        <v/>
      </c>
    </row>
    <row r="223" spans="1:15">
      <c r="L223" s="3" t="str">
        <f t="shared" si="15"/>
        <v/>
      </c>
    </row>
    <row r="224" spans="1:15">
      <c r="L224" s="3" t="str">
        <f t="shared" si="15"/>
        <v/>
      </c>
    </row>
    <row r="225" spans="12:12">
      <c r="L225" s="3" t="str">
        <f t="shared" si="15"/>
        <v/>
      </c>
    </row>
    <row r="226" spans="12:12">
      <c r="L226" s="3" t="str">
        <f t="shared" si="15"/>
        <v/>
      </c>
    </row>
    <row r="227" spans="12:12">
      <c r="L227" s="3" t="str">
        <f t="shared" si="15"/>
        <v/>
      </c>
    </row>
    <row r="228" spans="12:12">
      <c r="L228" s="3" t="str">
        <f t="shared" si="15"/>
        <v/>
      </c>
    </row>
    <row r="229" spans="12:12">
      <c r="L229" s="3" t="str">
        <f t="shared" si="15"/>
        <v/>
      </c>
    </row>
    <row r="230" spans="12:12">
      <c r="L230" s="3" t="str">
        <f t="shared" si="15"/>
        <v/>
      </c>
    </row>
    <row r="231" spans="12:12">
      <c r="L231" s="3" t="str">
        <f t="shared" si="15"/>
        <v/>
      </c>
    </row>
    <row r="232" spans="12:12">
      <c r="L232" s="3" t="str">
        <f t="shared" si="15"/>
        <v/>
      </c>
    </row>
    <row r="233" spans="12:12">
      <c r="L233" s="3" t="str">
        <f t="shared" si="15"/>
        <v/>
      </c>
    </row>
    <row r="234" spans="12:12">
      <c r="L234" s="3" t="str">
        <f t="shared" si="15"/>
        <v/>
      </c>
    </row>
    <row r="235" spans="12:12">
      <c r="L235" s="3" t="str">
        <f t="shared" si="15"/>
        <v/>
      </c>
    </row>
    <row r="236" spans="12:12">
      <c r="L236" s="3" t="str">
        <f t="shared" si="15"/>
        <v/>
      </c>
    </row>
    <row r="237" spans="12:12">
      <c r="L237" s="3" t="str">
        <f t="shared" si="15"/>
        <v/>
      </c>
    </row>
    <row r="238" spans="12:12">
      <c r="L238" s="3" t="str">
        <f t="shared" si="15"/>
        <v/>
      </c>
    </row>
    <row r="239" spans="12:12">
      <c r="L239" s="3" t="str">
        <f t="shared" si="15"/>
        <v/>
      </c>
    </row>
    <row r="240" spans="12:12">
      <c r="L240" s="3" t="str">
        <f t="shared" si="15"/>
        <v/>
      </c>
    </row>
    <row r="241" spans="12:12">
      <c r="L241" s="3" t="str">
        <f t="shared" si="15"/>
        <v/>
      </c>
    </row>
    <row r="242" spans="12:12">
      <c r="L242" s="3" t="str">
        <f t="shared" si="15"/>
        <v/>
      </c>
    </row>
    <row r="243" spans="12:12">
      <c r="L243" s="3" t="str">
        <f t="shared" si="15"/>
        <v/>
      </c>
    </row>
    <row r="244" spans="12:12">
      <c r="L244" s="3" t="str">
        <f t="shared" si="15"/>
        <v/>
      </c>
    </row>
    <row r="245" spans="12:12">
      <c r="L245" s="3" t="str">
        <f t="shared" si="15"/>
        <v/>
      </c>
    </row>
    <row r="246" spans="12:12">
      <c r="L246" s="3" t="str">
        <f t="shared" si="15"/>
        <v/>
      </c>
    </row>
    <row r="247" spans="12:12">
      <c r="L247" s="3" t="str">
        <f t="shared" si="15"/>
        <v/>
      </c>
    </row>
    <row r="248" spans="12:12">
      <c r="L248" s="3" t="str">
        <f t="shared" si="15"/>
        <v/>
      </c>
    </row>
    <row r="249" spans="12:12">
      <c r="L249" s="3" t="str">
        <f t="shared" si="15"/>
        <v/>
      </c>
    </row>
    <row r="250" spans="12:12">
      <c r="L250" s="3" t="str">
        <f t="shared" si="15"/>
        <v/>
      </c>
    </row>
    <row r="251" spans="12:12">
      <c r="L251" s="3" t="str">
        <f t="shared" si="15"/>
        <v/>
      </c>
    </row>
    <row r="252" spans="12:12">
      <c r="L252" s="3" t="str">
        <f t="shared" si="15"/>
        <v/>
      </c>
    </row>
    <row r="253" spans="12:12">
      <c r="L253" s="3" t="str">
        <f t="shared" si="15"/>
        <v/>
      </c>
    </row>
    <row r="254" spans="12:12">
      <c r="L254" s="3" t="str">
        <f t="shared" si="15"/>
        <v/>
      </c>
    </row>
    <row r="255" spans="12:12">
      <c r="L255" s="3" t="str">
        <f t="shared" si="15"/>
        <v/>
      </c>
    </row>
    <row r="256" spans="12:12">
      <c r="L256" s="3" t="str">
        <f t="shared" si="15"/>
        <v/>
      </c>
    </row>
    <row r="257" spans="12:12">
      <c r="L257" s="3" t="str">
        <f t="shared" si="15"/>
        <v/>
      </c>
    </row>
    <row r="258" spans="12:12">
      <c r="L258" s="3" t="str">
        <f t="shared" si="15"/>
        <v/>
      </c>
    </row>
  </sheetData>
  <sheetProtection sheet="1" objects="1" scenarios="1" selectLockedCells="1" selectUnlockedCells="1"/>
  <mergeCells count="41">
    <mergeCell ref="A190:A217"/>
    <mergeCell ref="B190:B203"/>
    <mergeCell ref="C190:C196"/>
    <mergeCell ref="C197:C203"/>
    <mergeCell ref="B204:B217"/>
    <mergeCell ref="C204:C210"/>
    <mergeCell ref="C211:C217"/>
    <mergeCell ref="A135:A189"/>
    <mergeCell ref="B135:B154"/>
    <mergeCell ref="C135:C139"/>
    <mergeCell ref="C140:C144"/>
    <mergeCell ref="C145:C154"/>
    <mergeCell ref="B155:C175"/>
    <mergeCell ref="B176:C189"/>
    <mergeCell ref="B105:B134"/>
    <mergeCell ref="C105:C108"/>
    <mergeCell ref="C109:C112"/>
    <mergeCell ref="C113:C116"/>
    <mergeCell ref="C117:C120"/>
    <mergeCell ref="C121:C127"/>
    <mergeCell ref="C128:C134"/>
    <mergeCell ref="C57:C60"/>
    <mergeCell ref="C61:C67"/>
    <mergeCell ref="C68:C74"/>
    <mergeCell ref="B75:B104"/>
    <mergeCell ref="C75:C78"/>
    <mergeCell ref="C79:C82"/>
    <mergeCell ref="C83:C86"/>
    <mergeCell ref="C87:C90"/>
    <mergeCell ref="C91:C97"/>
    <mergeCell ref="C98:C104"/>
    <mergeCell ref="H1:K1"/>
    <mergeCell ref="A3:A40"/>
    <mergeCell ref="B3:C23"/>
    <mergeCell ref="B24:C40"/>
    <mergeCell ref="A41:A134"/>
    <mergeCell ref="B41:C44"/>
    <mergeCell ref="B45:B74"/>
    <mergeCell ref="C45:C48"/>
    <mergeCell ref="C49:C52"/>
    <mergeCell ref="C53:C56"/>
  </mergeCells>
  <pageMargins left="0.7" right="0.7" top="0.75" bottom="0.75" header="0.3" footer="0.3"/>
  <pageSetup scale="25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Canam Deck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Calvert</dc:creator>
  <cp:lastModifiedBy>Jonathan Calvert</cp:lastModifiedBy>
  <dcterms:created xsi:type="dcterms:W3CDTF">2026-02-15T17:37:39Z</dcterms:created>
  <dcterms:modified xsi:type="dcterms:W3CDTF">2026-02-15T17:37:55Z</dcterms:modified>
</cp:coreProperties>
</file>